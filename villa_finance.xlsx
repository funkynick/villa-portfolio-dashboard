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Методология" sheetId="2" state="visible" r:id="rId2"/>
    <sheet name="dq_log" sheetId="3" state="visible" r:id="rId3"/>
    <sheet name="calc_reservations" sheetId="4" state="visible" r:id="rId4"/>
    <sheet name="calc_payments" sheetId="5" state="visible" r:id="rId5"/>
    <sheet name="calc_expenses" sheetId="6" state="visible" r:id="rId6"/>
    <sheet name="raw_reservations" sheetId="7" state="visible" r:id="rId7"/>
    <sheet name="raw_payments" sheetId="8" state="visible" r:id="rId8"/>
    <sheet name="raw_expenses" sheetId="9" state="visible" r:id="rId9"/>
    <sheet name="properties" sheetId="10" state="visible" r:id="rId10"/>
    <sheet name="commission_rules" sheetId="11" state="visible" r:id="rId11"/>
  </sheets>
  <definedNames>
    <definedName name="_xlnm._FilterDatabase" localSheetId="2" hidden="1">'dq_log'!$A$1:$H$111</definedName>
    <definedName name="_xlnm._FilterDatabase" localSheetId="3" hidden="1">'calc_reservations'!$A$1:$AO$152</definedName>
    <definedName name="_xlnm._FilterDatabase" localSheetId="4" hidden="1">'calc_payments'!$A$1:$Q$77</definedName>
    <definedName name="_xlnm._FilterDatabase" localSheetId="5" hidden="1">'calc_expenses'!$A$1:$O$91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;(#,##0);-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5"/>
    </font>
    <font>
      <name val="Arial"/>
      <i val="1"/>
      <color rgb="00667085"/>
      <sz val="9"/>
    </font>
    <font>
      <name val="Arial"/>
      <b val="1"/>
      <sz val="10"/>
    </font>
    <font>
      <name val="Arial"/>
      <b val="1"/>
      <color rgb="000000FF"/>
      <sz val="11"/>
    </font>
    <font>
      <name val="Arial"/>
      <color rgb="00667085"/>
      <sz val="9"/>
    </font>
    <font>
      <name val="Arial"/>
      <b val="1"/>
      <sz val="12"/>
    </font>
  </fonts>
  <fills count="8">
    <fill>
      <patternFill/>
    </fill>
    <fill>
      <patternFill patternType="gray125"/>
    </fill>
    <fill>
      <patternFill patternType="solid">
        <fgColor rgb="003B4A5A"/>
      </patternFill>
    </fill>
    <fill>
      <patternFill patternType="solid">
        <fgColor rgb="008A4B4B"/>
      </patternFill>
    </fill>
    <fill>
      <patternFill patternType="solid">
        <fgColor rgb="00F6E3E3"/>
      </patternFill>
    </fill>
    <fill>
      <patternFill patternType="solid">
        <fgColor rgb="00FFF6D6"/>
      </patternFill>
    </fill>
    <fill>
      <patternFill patternType="solid">
        <fgColor rgb="00FFF2A8"/>
      </patternFill>
    </fill>
    <fill>
      <patternFill patternType="solid">
        <fgColor rgb="00E8ECF0"/>
      </patternFill>
    </fill>
  </fills>
  <borders count="3">
    <border>
      <left/>
      <right/>
      <top/>
      <bottom/>
      <diagonal/>
    </border>
    <border>
      <left style="thin">
        <color rgb="00C8CED6"/>
      </left>
      <right style="thin">
        <color rgb="00C8CED6"/>
      </right>
      <top style="thin">
        <color rgb="00C8CED6"/>
      </top>
      <bottom style="thin">
        <color rgb="00C8CED6"/>
      </bottom>
    </border>
    <border>
      <top style="thin">
        <color rgb="00C8CED6"/>
      </top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6" borderId="1" pivotButton="0" quotePrefix="0" xfId="0"/>
    <xf numFmtId="0" fontId="7" fillId="0" borderId="0" pivotButton="0" quotePrefix="0" xfId="0"/>
    <xf numFmtId="164" fontId="6" fillId="6" borderId="1" pivotButton="0" quotePrefix="0" xfId="0"/>
    <xf numFmtId="0" fontId="5" fillId="7" borderId="0" pivotButton="0" quotePrefix="0" xfId="0"/>
    <xf numFmtId="0" fontId="7" fillId="7" borderId="0" pivotButton="0" quotePrefix="0" xfId="0"/>
    <xf numFmtId="0" fontId="2" fillId="0" borderId="0" pivotButton="0" quotePrefix="0" xfId="0"/>
    <xf numFmtId="165" fontId="2" fillId="0" borderId="0" pivotButton="0" quotePrefix="0" xfId="0"/>
    <xf numFmtId="165" fontId="5" fillId="0" borderId="2" pivotButton="0" quotePrefix="0" xfId="0"/>
    <xf numFmtId="3" fontId="2" fillId="0" borderId="0" pivotButton="0" quotePrefix="0" xfId="0"/>
    <xf numFmtId="0" fontId="1" fillId="2" borderId="0" applyAlignment="1" pivotButton="0" quotePrefix="0" xfId="0">
      <alignment vertical="center" wrapText="1"/>
    </xf>
    <xf numFmtId="3" fontId="5" fillId="0" borderId="2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  <xf numFmtId="164" fontId="2" fillId="0" borderId="0" pivotButton="0" quotePrefix="0" xfId="0"/>
    <xf numFmtId="9" fontId="2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34</row>
      <rowOff>0</rowOff>
    </from>
    <ext cx="8572500" cy="3238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M63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" customWidth="1" min="1" max="1"/>
    <col width="42" customWidth="1" min="2" max="2"/>
    <col width="18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2" customWidth="1" min="12" max="12"/>
    <col width="12" customWidth="1" min="13" max="13"/>
  </cols>
  <sheetData>
    <row r="1">
      <c r="B1" s="1" t="inlineStr">
        <is>
          <t>Портфель вилл: начисления, деньги, качество данных</t>
        </is>
      </c>
    </row>
    <row r="2">
      <c r="B2" s="2" t="inlineStr">
        <is>
          <t>Суммы в IDR. Жёлтые ячейки можно менять, остальное считается формулами из листов calc_*.</t>
        </is>
      </c>
    </row>
    <row r="4">
      <c r="B4" s="3" t="inlineStr">
        <is>
          <t>Объект</t>
        </is>
      </c>
      <c r="C4" s="4" t="inlineStr">
        <is>
          <t>Все</t>
        </is>
      </c>
      <c r="D4" s="5">
        <f>IF(C4="Все","все 20 объектов",INDEX(properties!$C$2:$C$21,MATCH(C4,properties!$A$2:$A$21,0))&amp;", собственник "&amp;INDEX(properties!$D$2:$D$21,MATCH(C4,properties!$A$2:$A$21,0)))</f>
        <v/>
      </c>
    </row>
    <row r="5">
      <c r="B5" s="3" t="inlineStr">
        <is>
          <t>Период с</t>
        </is>
      </c>
      <c r="C5" s="6" t="n">
        <v>46266</v>
      </c>
    </row>
    <row r="6">
      <c r="B6" s="3" t="inlineStr">
        <is>
          <t>Период по</t>
        </is>
      </c>
      <c r="C6" s="6" t="n">
        <v>46326</v>
      </c>
    </row>
    <row r="7">
      <c r="B7" s="3" t="inlineStr">
        <is>
          <t>Учитывать брони «на проверке»</t>
        </is>
      </c>
      <c r="C7" s="4" t="inlineStr">
        <is>
          <t>Да</t>
        </is>
      </c>
      <c r="D7" s="5" t="inlineStr">
        <is>
          <t>«Нет» убирает брони с пересечением дат и отрицательной OTA fee: видно, насколько итог от них зависит</t>
        </is>
      </c>
    </row>
    <row r="9">
      <c r="B9" s="7" t="inlineStr">
        <is>
          <t>Начисления за период (accrual, по ночам проживания)</t>
        </is>
      </c>
      <c r="C9" s="8" t="inlineStr">
        <is>
          <t>IDR</t>
        </is>
      </c>
      <c r="D9" s="8" t="inlineStr">
        <is>
          <t>как считается</t>
        </is>
      </c>
    </row>
    <row r="10">
      <c r="B10" s="9" t="inlineStr">
        <is>
          <t>Gross bookings</t>
        </is>
      </c>
      <c r="C10" s="10">
        <f>IF($C$4="Все",SUM(calc_reservations!$AF$2:$AF$152),SUMIFS(calc_reservations!$AF$2:$AF$152,calc_reservations!$B$2:$B$152,$C$4))</f>
        <v/>
      </c>
      <c r="D10" s="5" t="inlineStr">
        <is>
          <t>gross × доля ночей в периоде</t>
        </is>
      </c>
    </row>
    <row r="11">
      <c r="B11" s="9" t="inlineStr">
        <is>
          <t>− Возвраты</t>
        </is>
      </c>
      <c r="C11" s="10">
        <f>IF($C$4="Все",SUM(calc_reservations!$AG$2:$AG$152),SUMIFS(calc_reservations!$AG$2:$AG$152,calc_reservations!$B$2:$B$152,$C$4))</f>
        <v/>
      </c>
      <c r="D11" s="5" t="inlineStr">
        <is>
          <t>refund_amount × доля ночей</t>
        </is>
      </c>
    </row>
    <row r="12">
      <c r="B12" s="3" t="inlineStr">
        <is>
          <t>Net booking value</t>
        </is>
      </c>
      <c r="C12" s="11">
        <f>C10-C11</f>
        <v/>
      </c>
      <c r="D12" s="5" t="inlineStr">
        <is>
          <t>gross − возвраты</t>
        </is>
      </c>
    </row>
    <row r="13">
      <c r="B13" s="9" t="inlineStr">
        <is>
          <t>− OTA fees</t>
        </is>
      </c>
      <c r="C13" s="10">
        <f>IF($C$4="Все",SUM(calc_reservations!$AI$2:$AI$152),SUMIFS(calc_reservations!$AI$2:$AI$152,calc_reservations!$B$2:$B$152,$C$4))</f>
        <v/>
      </c>
      <c r="D13" s="5" t="inlineStr">
        <is>
          <t>ota_fee пропорционально оставшейся сумме (при полном возврате 0)</t>
        </is>
      </c>
    </row>
    <row r="14">
      <c r="B14" s="9" t="inlineStr">
        <is>
          <t>− Management fee</t>
        </is>
      </c>
      <c r="C14" s="10">
        <f>IF($C$4="Все",SUM(calc_reservations!$AJ$2:$AJ$152),SUMIFS(calc_reservations!$AJ$2:$AJ$152,calc_reservations!$B$2:$B$152,$C$4))</f>
        <v/>
      </c>
      <c r="D14" s="5" t="inlineStr">
        <is>
          <t>ставка из commission_rules × net booking value</t>
        </is>
      </c>
    </row>
    <row r="15">
      <c r="B15" s="9" t="inlineStr">
        <is>
          <t>− Операционные расходы</t>
        </is>
      </c>
      <c r="C15" s="10">
        <f>IF($C$4="Все",SUM(calc_expenses!$L$2:$L$91),SUMIFS(calc_expenses!$L$2:$L$91,calc_expenses!$B$2:$B$91,$C$4))</f>
        <v/>
      </c>
      <c r="D15" s="5" t="inlineStr">
        <is>
          <t>все расходы по expense_date, включая pending</t>
        </is>
      </c>
    </row>
    <row r="16">
      <c r="B16" s="9" t="inlineStr">
        <is>
          <t xml:space="preserve">     из них pending</t>
        </is>
      </c>
      <c r="C16" s="10">
        <f>IF($C$4="Все",SUM(calc_expenses!$N$2:$N$91),SUMIFS(calc_expenses!$N$2:$N$91,calc_expenses!$B$2:$B$91,$C$4))</f>
        <v/>
      </c>
      <c r="D16" s="5" t="inlineStr">
        <is>
          <t>ещё не оплачены</t>
        </is>
      </c>
    </row>
    <row r="17">
      <c r="B17" s="3" t="inlineStr">
        <is>
          <t>Owner balance (оценка)</t>
        </is>
      </c>
      <c r="C17" s="11">
        <f>C12-C13-C14-C15</f>
        <v/>
      </c>
      <c r="D17" s="5" t="inlineStr">
        <is>
          <t>оценка: нет сальдо, выплат собственнику, налогов, см. README</t>
        </is>
      </c>
    </row>
    <row r="18">
      <c r="B18" s="9" t="inlineStr">
        <is>
          <t>Ночей продано</t>
        </is>
      </c>
      <c r="C18" s="12">
        <f>IF($C$4="Все",SUM(calc_reservations!$AN$2:$AN$152),SUMIFS(calc_reservations!$AN$2:$AN$152,calc_reservations!$B$2:$B$152,$C$4))</f>
        <v/>
      </c>
      <c r="D18" s="5" t="inlineStr">
        <is>
          <t>при 20 виллах × 61 день доступно 1 220 ночей</t>
        </is>
      </c>
    </row>
    <row r="20">
      <c r="B20" s="7" t="inlineStr">
        <is>
          <t>Деньги за период (cash)</t>
        </is>
      </c>
      <c r="C20" s="8" t="inlineStr">
        <is>
          <t>IDR</t>
        </is>
      </c>
      <c r="D20" s="8" t="inlineStr">
        <is>
          <t>как считается</t>
        </is>
      </c>
    </row>
    <row r="21">
      <c r="B21" s="9" t="inlineStr">
        <is>
          <t>Начислено к получению (net − OTA)</t>
        </is>
      </c>
      <c r="C21" s="10">
        <f>C12-C13</f>
        <v/>
      </c>
      <c r="D21" s="5" t="inlineStr">
        <is>
          <t>то, что должно прийти от гостей/OTA за ночи периода</t>
        </is>
      </c>
    </row>
    <row r="22">
      <c r="B22" s="9" t="inlineStr">
        <is>
          <t>Фактически поступило</t>
        </is>
      </c>
      <c r="C22" s="10">
        <f>IF($C$4="Все",SUM(calc_payments!$P$2:$P$77),SUMIFS(calc_payments!$P$2:$P$77,calc_payments!$C$2:$C$77,$C$4))</f>
        <v/>
      </c>
      <c r="D22" s="5" t="inlineStr">
        <is>
          <t>payments по payment_date, без дублей и нулей</t>
        </is>
      </c>
    </row>
    <row r="23">
      <c r="B23" s="3" t="inlineStr">
        <is>
          <t>Разница: поступило − начислено</t>
        </is>
      </c>
      <c r="C23" s="11">
        <f>C22-C21</f>
        <v/>
      </c>
      <c r="D23" s="5" t="inlineStr">
        <is>
          <t>минус = денег пришло меньше, чем начислено</t>
        </is>
      </c>
    </row>
    <row r="24">
      <c r="B24" s="9" t="inlineStr">
        <is>
          <t>Расходы оплачены (отток)</t>
        </is>
      </c>
      <c r="C24" s="10">
        <f>IF($C$4="Все",SUM(calc_expenses!$M$2:$M$91),SUMIFS(calc_expenses!$M$2:$M$91,calc_expenses!$B$2:$B$91,$C$4))</f>
        <v/>
      </c>
      <c r="D24" s="5" t="inlineStr">
        <is>
          <t>только payment_status = paid</t>
        </is>
      </c>
    </row>
    <row r="26">
      <c r="B26" s="7" t="inlineStr">
        <is>
          <t>Сверка по броням, затронувшим период (полные суммы броней)</t>
        </is>
      </c>
      <c r="C26" s="8" t="inlineStr">
        <is>
          <t>IDR</t>
        </is>
      </c>
      <c r="D26" s="8" t="inlineStr">
        <is>
          <t>как считается</t>
        </is>
      </c>
    </row>
    <row r="27">
      <c r="B27" s="9" t="inlineStr">
        <is>
          <t>Броней в периоде</t>
        </is>
      </c>
      <c r="C27" s="12">
        <f>IF($C$4="Все",COUNTIFS(calc_reservations!$AK$2:$AK$152,1),COUNTIFS(calc_reservations!$AK$2:$AK$152,1,calc_reservations!$B$2:$B$152,$C$4))</f>
        <v/>
      </c>
      <c r="D27" s="5" t="inlineStr"/>
    </row>
    <row r="28">
      <c r="B28" s="9" t="inlineStr">
        <is>
          <t>Ожидалось по этим броням</t>
        </is>
      </c>
      <c r="C28" s="10">
        <f>IF($C$4="Все",SUM(calc_reservations!$AL$2:$AL$152),SUMIFS(calc_reservations!$AL$2:$AL$152,calc_reservations!$B$2:$B$152,$C$4))</f>
        <v/>
      </c>
      <c r="D28" s="5" t="inlineStr">
        <is>
          <t>net − OTA fee по каждой брони</t>
        </is>
      </c>
    </row>
    <row r="29">
      <c r="B29" s="9" t="inlineStr">
        <is>
          <t>Получено по этим броням</t>
        </is>
      </c>
      <c r="C29" s="10">
        <f>IF($C$4="Все",SUM(calc_reservations!$AM$2:$AM$152),SUMIFS(calc_reservations!$AM$2:$AM$152,calc_reservations!$B$2:$B$152,$C$4))</f>
        <v/>
      </c>
      <c r="D29" s="5" t="inlineStr">
        <is>
          <t>платежи с тем же reservation_id, любая дата</t>
        </is>
      </c>
    </row>
    <row r="30">
      <c r="B30" s="3" t="inlineStr">
        <is>
          <t>Разница</t>
        </is>
      </c>
      <c r="C30" s="11">
        <f>C29-C28</f>
        <v/>
      </c>
      <c r="D30" s="5" t="inlineStr"/>
    </row>
    <row r="31">
      <c r="B31" s="9" t="inlineStr">
        <is>
          <t>Броней без платежа</t>
        </is>
      </c>
      <c r="C31" s="12">
        <f>IF($C$4="Все",COUNTIFS(calc_reservations!$AK$2:$AK$152,1,calc_reservations!$AC$2:$AC$152,"нет платежа"),COUNTIFS(calc_reservations!$AK$2:$AK$152,1,calc_reservations!$AC$2:$AC$152,"нет платежа",calc_reservations!$B$2:$B$152,$C$4))</f>
        <v/>
      </c>
      <c r="D31" s="5" t="inlineStr">
        <is>
          <t>фильтр «сверка» на листе calc_reservations</t>
        </is>
      </c>
    </row>
    <row r="32">
      <c r="B32" s="9" t="inlineStr">
        <is>
          <t>Броней с расхождением суммы</t>
        </is>
      </c>
      <c r="C32" s="12">
        <f>IF($C$4="Все",COUNTIFS(calc_reservations!$AK$2:$AK$152,1,calc_reservations!$AC$2:$AC$152,"расхождение"),COUNTIFS(calc_reservations!$AK$2:$AK$152,1,calc_reservations!$AC$2:$AC$152,"расхождение",calc_reservations!$B$2:$B$152,$C$4))</f>
        <v/>
      </c>
      <c r="D32" s="5" t="inlineStr"/>
    </row>
    <row r="33">
      <c r="B33" s="9" t="inlineStr">
        <is>
          <t>Броней «на проверке» среди них</t>
        </is>
      </c>
      <c r="C33" s="12">
        <f>IF($C$4="Все",COUNTIFS(calc_reservations!$AO$2:$AO$152,1),COUNTIFS(calc_reservations!$AO$2:$AO$152,1,calc_reservations!$B$2:$B$152,$C$4))</f>
        <v/>
      </c>
      <c r="D33" s="5" t="inlineStr">
        <is>
          <t>пересечение дат или OTA fee &lt; 0</t>
        </is>
      </c>
    </row>
    <row r="35">
      <c r="B35" s="7" t="inlineStr">
        <is>
          <t>Качество данных (все объекты, вне фильтров)</t>
        </is>
      </c>
      <c r="C35" s="8" t="inlineStr">
        <is>
          <t>IDR</t>
        </is>
      </c>
      <c r="D35" s="8" t="inlineStr">
        <is>
          <t>как считается</t>
        </is>
      </c>
    </row>
    <row r="36">
      <c r="B36" s="9" t="inlineStr">
        <is>
          <t>Записей исключено</t>
        </is>
      </c>
      <c r="C36" s="12">
        <f>COUNTIF(calc_reservations!$Q$2:$Q$152,0)+COUNTIF(calc_payments!$M$2:$M$77,0)+COUNTIF(calc_expenses!$J$2:$J$91,0)</f>
        <v/>
      </c>
      <c r="D36" s="5" t="inlineStr">
        <is>
          <t>брони + платежи + расходы; причины на листе dq_log</t>
        </is>
      </c>
    </row>
    <row r="37">
      <c r="B37" s="9" t="inlineStr">
        <is>
          <t>Броней на проверке</t>
        </is>
      </c>
      <c r="C37" s="12">
        <f>SUM(calc_reservations!$S$2:$S$152)</f>
        <v/>
      </c>
      <c r="D37" s="5" t="inlineStr">
        <is>
          <t>пересечение дат или OTA fee &lt; 0</t>
        </is>
      </c>
    </row>
    <row r="38">
      <c r="B38" s="9" t="inlineStr">
        <is>
          <t>Вопросов финдиректору</t>
        </is>
      </c>
      <c r="C38" s="12">
        <f>COUNTIF(dq_log!$G$2:$G$111,"Вопрос*")</f>
        <v/>
      </c>
      <c r="D38" s="5" t="inlineStr"/>
    </row>
    <row r="40">
      <c r="B40" s="3" t="inlineStr">
        <is>
          <t>По объектам за выбранный период (фильтр «Объект» здесь не применяется)</t>
        </is>
      </c>
    </row>
    <row r="41" ht="30" customHeight="1">
      <c r="B41" s="13" t="inlineStr">
        <is>
          <t>Объект</t>
        </is>
      </c>
      <c r="C41" s="13" t="inlineStr">
        <is>
          <t>Кластер</t>
        </is>
      </c>
      <c r="D41" s="13" t="inlineStr">
        <is>
          <t>Gross</t>
        </is>
      </c>
      <c r="E41" s="13" t="inlineStr">
        <is>
          <t>Возвраты</t>
        </is>
      </c>
      <c r="F41" s="13" t="inlineStr">
        <is>
          <t>Net</t>
        </is>
      </c>
      <c r="G41" s="13" t="inlineStr">
        <is>
          <t>OTA fees</t>
        </is>
      </c>
      <c r="H41" s="13" t="inlineStr">
        <is>
          <t>Mgmt fee</t>
        </is>
      </c>
      <c r="I41" s="13" t="inlineStr">
        <is>
          <t>Расходы</t>
        </is>
      </c>
      <c r="J41" s="13" t="inlineStr">
        <is>
          <t>Owner balance (оценка)</t>
        </is>
      </c>
      <c r="K41" s="13" t="inlineStr">
        <is>
          <t>Поступило</t>
        </is>
      </c>
      <c r="L41" s="13" t="inlineStr">
        <is>
          <t>Ночей</t>
        </is>
      </c>
      <c r="M41" s="13" t="inlineStr">
        <is>
          <t>На проверке</t>
        </is>
      </c>
    </row>
    <row r="42">
      <c r="B42" s="9">
        <f>properties!A2&amp;" · "&amp;properties!C2</f>
        <v/>
      </c>
      <c r="C42" s="9">
        <f>properties!C2</f>
        <v/>
      </c>
      <c r="D42" s="10">
        <f>SUMIFS(calc_reservations!$AF$2:$AF$152,calc_reservations!$B$2:$B$152,properties!$A$2)</f>
        <v/>
      </c>
      <c r="E42" s="10">
        <f>SUMIFS(calc_reservations!$AG$2:$AG$152,calc_reservations!$B$2:$B$152,properties!$A$2)</f>
        <v/>
      </c>
      <c r="F42" s="10">
        <f>D42-E42</f>
        <v/>
      </c>
      <c r="G42" s="10">
        <f>SUMIFS(calc_reservations!$AI$2:$AI$152,calc_reservations!$B$2:$B$152,properties!$A$2)</f>
        <v/>
      </c>
      <c r="H42" s="10">
        <f>SUMIFS(calc_reservations!$AJ$2:$AJ$152,calc_reservations!$B$2:$B$152,properties!$A$2)</f>
        <v/>
      </c>
      <c r="I42" s="10">
        <f>SUMIFS(calc_expenses!$L$2:$L$91,calc_expenses!$B$2:$B$91,properties!$A$2)</f>
        <v/>
      </c>
      <c r="J42" s="10">
        <f>F42-G42-H42-I42</f>
        <v/>
      </c>
      <c r="K42" s="10">
        <f>SUMIFS(calc_payments!$P$2:$P$77,calc_payments!$C$2:$C$77,properties!$A$2)</f>
        <v/>
      </c>
      <c r="L42" s="12">
        <f>SUMIFS(calc_reservations!$AN$2:$AN$152,calc_reservations!$B$2:$B$152,properties!$A$2)</f>
        <v/>
      </c>
      <c r="M42" s="12">
        <f>SUMIFS(calc_reservations!$AO$2:$AO$152,calc_reservations!$B$2:$B$152,properties!$A$2)</f>
        <v/>
      </c>
    </row>
    <row r="43">
      <c r="B43" s="9">
        <f>properties!A3&amp;" · "&amp;properties!C3</f>
        <v/>
      </c>
      <c r="C43" s="9">
        <f>properties!C3</f>
        <v/>
      </c>
      <c r="D43" s="10">
        <f>SUMIFS(calc_reservations!$AF$2:$AF$152,calc_reservations!$B$2:$B$152,properties!$A$3)</f>
        <v/>
      </c>
      <c r="E43" s="10">
        <f>SUMIFS(calc_reservations!$AG$2:$AG$152,calc_reservations!$B$2:$B$152,properties!$A$3)</f>
        <v/>
      </c>
      <c r="F43" s="10">
        <f>D43-E43</f>
        <v/>
      </c>
      <c r="G43" s="10">
        <f>SUMIFS(calc_reservations!$AI$2:$AI$152,calc_reservations!$B$2:$B$152,properties!$A$3)</f>
        <v/>
      </c>
      <c r="H43" s="10">
        <f>SUMIFS(calc_reservations!$AJ$2:$AJ$152,calc_reservations!$B$2:$B$152,properties!$A$3)</f>
        <v/>
      </c>
      <c r="I43" s="10">
        <f>SUMIFS(calc_expenses!$L$2:$L$91,calc_expenses!$B$2:$B$91,properties!$A$3)</f>
        <v/>
      </c>
      <c r="J43" s="10">
        <f>F43-G43-H43-I43</f>
        <v/>
      </c>
      <c r="K43" s="10">
        <f>SUMIFS(calc_payments!$P$2:$P$77,calc_payments!$C$2:$C$77,properties!$A$3)</f>
        <v/>
      </c>
      <c r="L43" s="12">
        <f>SUMIFS(calc_reservations!$AN$2:$AN$152,calc_reservations!$B$2:$B$152,properties!$A$3)</f>
        <v/>
      </c>
      <c r="M43" s="12">
        <f>SUMIFS(calc_reservations!$AO$2:$AO$152,calc_reservations!$B$2:$B$152,properties!$A$3)</f>
        <v/>
      </c>
    </row>
    <row r="44">
      <c r="B44" s="9">
        <f>properties!A4&amp;" · "&amp;properties!C4</f>
        <v/>
      </c>
      <c r="C44" s="9">
        <f>properties!C4</f>
        <v/>
      </c>
      <c r="D44" s="10">
        <f>SUMIFS(calc_reservations!$AF$2:$AF$152,calc_reservations!$B$2:$B$152,properties!$A$4)</f>
        <v/>
      </c>
      <c r="E44" s="10">
        <f>SUMIFS(calc_reservations!$AG$2:$AG$152,calc_reservations!$B$2:$B$152,properties!$A$4)</f>
        <v/>
      </c>
      <c r="F44" s="10">
        <f>D44-E44</f>
        <v/>
      </c>
      <c r="G44" s="10">
        <f>SUMIFS(calc_reservations!$AI$2:$AI$152,calc_reservations!$B$2:$B$152,properties!$A$4)</f>
        <v/>
      </c>
      <c r="H44" s="10">
        <f>SUMIFS(calc_reservations!$AJ$2:$AJ$152,calc_reservations!$B$2:$B$152,properties!$A$4)</f>
        <v/>
      </c>
      <c r="I44" s="10">
        <f>SUMIFS(calc_expenses!$L$2:$L$91,calc_expenses!$B$2:$B$91,properties!$A$4)</f>
        <v/>
      </c>
      <c r="J44" s="10">
        <f>F44-G44-H44-I44</f>
        <v/>
      </c>
      <c r="K44" s="10">
        <f>SUMIFS(calc_payments!$P$2:$P$77,calc_payments!$C$2:$C$77,properties!$A$4)</f>
        <v/>
      </c>
      <c r="L44" s="12">
        <f>SUMIFS(calc_reservations!$AN$2:$AN$152,calc_reservations!$B$2:$B$152,properties!$A$4)</f>
        <v/>
      </c>
      <c r="M44" s="12">
        <f>SUMIFS(calc_reservations!$AO$2:$AO$152,calc_reservations!$B$2:$B$152,properties!$A$4)</f>
        <v/>
      </c>
    </row>
    <row r="45">
      <c r="B45" s="9">
        <f>properties!A5&amp;" · "&amp;properties!C5</f>
        <v/>
      </c>
      <c r="C45" s="9">
        <f>properties!C5</f>
        <v/>
      </c>
      <c r="D45" s="10">
        <f>SUMIFS(calc_reservations!$AF$2:$AF$152,calc_reservations!$B$2:$B$152,properties!$A$5)</f>
        <v/>
      </c>
      <c r="E45" s="10">
        <f>SUMIFS(calc_reservations!$AG$2:$AG$152,calc_reservations!$B$2:$B$152,properties!$A$5)</f>
        <v/>
      </c>
      <c r="F45" s="10">
        <f>D45-E45</f>
        <v/>
      </c>
      <c r="G45" s="10">
        <f>SUMIFS(calc_reservations!$AI$2:$AI$152,calc_reservations!$B$2:$B$152,properties!$A$5)</f>
        <v/>
      </c>
      <c r="H45" s="10">
        <f>SUMIFS(calc_reservations!$AJ$2:$AJ$152,calc_reservations!$B$2:$B$152,properties!$A$5)</f>
        <v/>
      </c>
      <c r="I45" s="10">
        <f>SUMIFS(calc_expenses!$L$2:$L$91,calc_expenses!$B$2:$B$91,properties!$A$5)</f>
        <v/>
      </c>
      <c r="J45" s="10">
        <f>F45-G45-H45-I45</f>
        <v/>
      </c>
      <c r="K45" s="10">
        <f>SUMIFS(calc_payments!$P$2:$P$77,calc_payments!$C$2:$C$77,properties!$A$5)</f>
        <v/>
      </c>
      <c r="L45" s="12">
        <f>SUMIFS(calc_reservations!$AN$2:$AN$152,calc_reservations!$B$2:$B$152,properties!$A$5)</f>
        <v/>
      </c>
      <c r="M45" s="12">
        <f>SUMIFS(calc_reservations!$AO$2:$AO$152,calc_reservations!$B$2:$B$152,properties!$A$5)</f>
        <v/>
      </c>
    </row>
    <row r="46">
      <c r="B46" s="9">
        <f>properties!A6&amp;" · "&amp;properties!C6</f>
        <v/>
      </c>
      <c r="C46" s="9">
        <f>properties!C6</f>
        <v/>
      </c>
      <c r="D46" s="10">
        <f>SUMIFS(calc_reservations!$AF$2:$AF$152,calc_reservations!$B$2:$B$152,properties!$A$6)</f>
        <v/>
      </c>
      <c r="E46" s="10">
        <f>SUMIFS(calc_reservations!$AG$2:$AG$152,calc_reservations!$B$2:$B$152,properties!$A$6)</f>
        <v/>
      </c>
      <c r="F46" s="10">
        <f>D46-E46</f>
        <v/>
      </c>
      <c r="G46" s="10">
        <f>SUMIFS(calc_reservations!$AI$2:$AI$152,calc_reservations!$B$2:$B$152,properties!$A$6)</f>
        <v/>
      </c>
      <c r="H46" s="10">
        <f>SUMIFS(calc_reservations!$AJ$2:$AJ$152,calc_reservations!$B$2:$B$152,properties!$A$6)</f>
        <v/>
      </c>
      <c r="I46" s="10">
        <f>SUMIFS(calc_expenses!$L$2:$L$91,calc_expenses!$B$2:$B$91,properties!$A$6)</f>
        <v/>
      </c>
      <c r="J46" s="10">
        <f>F46-G46-H46-I46</f>
        <v/>
      </c>
      <c r="K46" s="10">
        <f>SUMIFS(calc_payments!$P$2:$P$77,calc_payments!$C$2:$C$77,properties!$A$6)</f>
        <v/>
      </c>
      <c r="L46" s="12">
        <f>SUMIFS(calc_reservations!$AN$2:$AN$152,calc_reservations!$B$2:$B$152,properties!$A$6)</f>
        <v/>
      </c>
      <c r="M46" s="12">
        <f>SUMIFS(calc_reservations!$AO$2:$AO$152,calc_reservations!$B$2:$B$152,properties!$A$6)</f>
        <v/>
      </c>
    </row>
    <row r="47">
      <c r="B47" s="9">
        <f>properties!A7&amp;" · "&amp;properties!C7</f>
        <v/>
      </c>
      <c r="C47" s="9">
        <f>properties!C7</f>
        <v/>
      </c>
      <c r="D47" s="10">
        <f>SUMIFS(calc_reservations!$AF$2:$AF$152,calc_reservations!$B$2:$B$152,properties!$A$7)</f>
        <v/>
      </c>
      <c r="E47" s="10">
        <f>SUMIFS(calc_reservations!$AG$2:$AG$152,calc_reservations!$B$2:$B$152,properties!$A$7)</f>
        <v/>
      </c>
      <c r="F47" s="10">
        <f>D47-E47</f>
        <v/>
      </c>
      <c r="G47" s="10">
        <f>SUMIFS(calc_reservations!$AI$2:$AI$152,calc_reservations!$B$2:$B$152,properties!$A$7)</f>
        <v/>
      </c>
      <c r="H47" s="10">
        <f>SUMIFS(calc_reservations!$AJ$2:$AJ$152,calc_reservations!$B$2:$B$152,properties!$A$7)</f>
        <v/>
      </c>
      <c r="I47" s="10">
        <f>SUMIFS(calc_expenses!$L$2:$L$91,calc_expenses!$B$2:$B$91,properties!$A$7)</f>
        <v/>
      </c>
      <c r="J47" s="10">
        <f>F47-G47-H47-I47</f>
        <v/>
      </c>
      <c r="K47" s="10">
        <f>SUMIFS(calc_payments!$P$2:$P$77,calc_payments!$C$2:$C$77,properties!$A$7)</f>
        <v/>
      </c>
      <c r="L47" s="12">
        <f>SUMIFS(calc_reservations!$AN$2:$AN$152,calc_reservations!$B$2:$B$152,properties!$A$7)</f>
        <v/>
      </c>
      <c r="M47" s="12">
        <f>SUMIFS(calc_reservations!$AO$2:$AO$152,calc_reservations!$B$2:$B$152,properties!$A$7)</f>
        <v/>
      </c>
    </row>
    <row r="48">
      <c r="B48" s="9">
        <f>properties!A8&amp;" · "&amp;properties!C8</f>
        <v/>
      </c>
      <c r="C48" s="9">
        <f>properties!C8</f>
        <v/>
      </c>
      <c r="D48" s="10">
        <f>SUMIFS(calc_reservations!$AF$2:$AF$152,calc_reservations!$B$2:$B$152,properties!$A$8)</f>
        <v/>
      </c>
      <c r="E48" s="10">
        <f>SUMIFS(calc_reservations!$AG$2:$AG$152,calc_reservations!$B$2:$B$152,properties!$A$8)</f>
        <v/>
      </c>
      <c r="F48" s="10">
        <f>D48-E48</f>
        <v/>
      </c>
      <c r="G48" s="10">
        <f>SUMIFS(calc_reservations!$AI$2:$AI$152,calc_reservations!$B$2:$B$152,properties!$A$8)</f>
        <v/>
      </c>
      <c r="H48" s="10">
        <f>SUMIFS(calc_reservations!$AJ$2:$AJ$152,calc_reservations!$B$2:$B$152,properties!$A$8)</f>
        <v/>
      </c>
      <c r="I48" s="10">
        <f>SUMIFS(calc_expenses!$L$2:$L$91,calc_expenses!$B$2:$B$91,properties!$A$8)</f>
        <v/>
      </c>
      <c r="J48" s="10">
        <f>F48-G48-H48-I48</f>
        <v/>
      </c>
      <c r="K48" s="10">
        <f>SUMIFS(calc_payments!$P$2:$P$77,calc_payments!$C$2:$C$77,properties!$A$8)</f>
        <v/>
      </c>
      <c r="L48" s="12">
        <f>SUMIFS(calc_reservations!$AN$2:$AN$152,calc_reservations!$B$2:$B$152,properties!$A$8)</f>
        <v/>
      </c>
      <c r="M48" s="12">
        <f>SUMIFS(calc_reservations!$AO$2:$AO$152,calc_reservations!$B$2:$B$152,properties!$A$8)</f>
        <v/>
      </c>
    </row>
    <row r="49">
      <c r="B49" s="9">
        <f>properties!A9&amp;" · "&amp;properties!C9</f>
        <v/>
      </c>
      <c r="C49" s="9">
        <f>properties!C9</f>
        <v/>
      </c>
      <c r="D49" s="10">
        <f>SUMIFS(calc_reservations!$AF$2:$AF$152,calc_reservations!$B$2:$B$152,properties!$A$9)</f>
        <v/>
      </c>
      <c r="E49" s="10">
        <f>SUMIFS(calc_reservations!$AG$2:$AG$152,calc_reservations!$B$2:$B$152,properties!$A$9)</f>
        <v/>
      </c>
      <c r="F49" s="10">
        <f>D49-E49</f>
        <v/>
      </c>
      <c r="G49" s="10">
        <f>SUMIFS(calc_reservations!$AI$2:$AI$152,calc_reservations!$B$2:$B$152,properties!$A$9)</f>
        <v/>
      </c>
      <c r="H49" s="10">
        <f>SUMIFS(calc_reservations!$AJ$2:$AJ$152,calc_reservations!$B$2:$B$152,properties!$A$9)</f>
        <v/>
      </c>
      <c r="I49" s="10">
        <f>SUMIFS(calc_expenses!$L$2:$L$91,calc_expenses!$B$2:$B$91,properties!$A$9)</f>
        <v/>
      </c>
      <c r="J49" s="10">
        <f>F49-G49-H49-I49</f>
        <v/>
      </c>
      <c r="K49" s="10">
        <f>SUMIFS(calc_payments!$P$2:$P$77,calc_payments!$C$2:$C$77,properties!$A$9)</f>
        <v/>
      </c>
      <c r="L49" s="12">
        <f>SUMIFS(calc_reservations!$AN$2:$AN$152,calc_reservations!$B$2:$B$152,properties!$A$9)</f>
        <v/>
      </c>
      <c r="M49" s="12">
        <f>SUMIFS(calc_reservations!$AO$2:$AO$152,calc_reservations!$B$2:$B$152,properties!$A$9)</f>
        <v/>
      </c>
    </row>
    <row r="50">
      <c r="B50" s="9">
        <f>properties!A10&amp;" · "&amp;properties!C10</f>
        <v/>
      </c>
      <c r="C50" s="9">
        <f>properties!C10</f>
        <v/>
      </c>
      <c r="D50" s="10">
        <f>SUMIFS(calc_reservations!$AF$2:$AF$152,calc_reservations!$B$2:$B$152,properties!$A$10)</f>
        <v/>
      </c>
      <c r="E50" s="10">
        <f>SUMIFS(calc_reservations!$AG$2:$AG$152,calc_reservations!$B$2:$B$152,properties!$A$10)</f>
        <v/>
      </c>
      <c r="F50" s="10">
        <f>D50-E50</f>
        <v/>
      </c>
      <c r="G50" s="10">
        <f>SUMIFS(calc_reservations!$AI$2:$AI$152,calc_reservations!$B$2:$B$152,properties!$A$10)</f>
        <v/>
      </c>
      <c r="H50" s="10">
        <f>SUMIFS(calc_reservations!$AJ$2:$AJ$152,calc_reservations!$B$2:$B$152,properties!$A$10)</f>
        <v/>
      </c>
      <c r="I50" s="10">
        <f>SUMIFS(calc_expenses!$L$2:$L$91,calc_expenses!$B$2:$B$91,properties!$A$10)</f>
        <v/>
      </c>
      <c r="J50" s="10">
        <f>F50-G50-H50-I50</f>
        <v/>
      </c>
      <c r="K50" s="10">
        <f>SUMIFS(calc_payments!$P$2:$P$77,calc_payments!$C$2:$C$77,properties!$A$10)</f>
        <v/>
      </c>
      <c r="L50" s="12">
        <f>SUMIFS(calc_reservations!$AN$2:$AN$152,calc_reservations!$B$2:$B$152,properties!$A$10)</f>
        <v/>
      </c>
      <c r="M50" s="12">
        <f>SUMIFS(calc_reservations!$AO$2:$AO$152,calc_reservations!$B$2:$B$152,properties!$A$10)</f>
        <v/>
      </c>
    </row>
    <row r="51">
      <c r="B51" s="9">
        <f>properties!A11&amp;" · "&amp;properties!C11</f>
        <v/>
      </c>
      <c r="C51" s="9">
        <f>properties!C11</f>
        <v/>
      </c>
      <c r="D51" s="10">
        <f>SUMIFS(calc_reservations!$AF$2:$AF$152,calc_reservations!$B$2:$B$152,properties!$A$11)</f>
        <v/>
      </c>
      <c r="E51" s="10">
        <f>SUMIFS(calc_reservations!$AG$2:$AG$152,calc_reservations!$B$2:$B$152,properties!$A$11)</f>
        <v/>
      </c>
      <c r="F51" s="10">
        <f>D51-E51</f>
        <v/>
      </c>
      <c r="G51" s="10">
        <f>SUMIFS(calc_reservations!$AI$2:$AI$152,calc_reservations!$B$2:$B$152,properties!$A$11)</f>
        <v/>
      </c>
      <c r="H51" s="10">
        <f>SUMIFS(calc_reservations!$AJ$2:$AJ$152,calc_reservations!$B$2:$B$152,properties!$A$11)</f>
        <v/>
      </c>
      <c r="I51" s="10">
        <f>SUMIFS(calc_expenses!$L$2:$L$91,calc_expenses!$B$2:$B$91,properties!$A$11)</f>
        <v/>
      </c>
      <c r="J51" s="10">
        <f>F51-G51-H51-I51</f>
        <v/>
      </c>
      <c r="K51" s="10">
        <f>SUMIFS(calc_payments!$P$2:$P$77,calc_payments!$C$2:$C$77,properties!$A$11)</f>
        <v/>
      </c>
      <c r="L51" s="12">
        <f>SUMIFS(calc_reservations!$AN$2:$AN$152,calc_reservations!$B$2:$B$152,properties!$A$11)</f>
        <v/>
      </c>
      <c r="M51" s="12">
        <f>SUMIFS(calc_reservations!$AO$2:$AO$152,calc_reservations!$B$2:$B$152,properties!$A$11)</f>
        <v/>
      </c>
    </row>
    <row r="52">
      <c r="B52" s="9">
        <f>properties!A12&amp;" · "&amp;properties!C12</f>
        <v/>
      </c>
      <c r="C52" s="9">
        <f>properties!C12</f>
        <v/>
      </c>
      <c r="D52" s="10">
        <f>SUMIFS(calc_reservations!$AF$2:$AF$152,calc_reservations!$B$2:$B$152,properties!$A$12)</f>
        <v/>
      </c>
      <c r="E52" s="10">
        <f>SUMIFS(calc_reservations!$AG$2:$AG$152,calc_reservations!$B$2:$B$152,properties!$A$12)</f>
        <v/>
      </c>
      <c r="F52" s="10">
        <f>D52-E52</f>
        <v/>
      </c>
      <c r="G52" s="10">
        <f>SUMIFS(calc_reservations!$AI$2:$AI$152,calc_reservations!$B$2:$B$152,properties!$A$12)</f>
        <v/>
      </c>
      <c r="H52" s="10">
        <f>SUMIFS(calc_reservations!$AJ$2:$AJ$152,calc_reservations!$B$2:$B$152,properties!$A$12)</f>
        <v/>
      </c>
      <c r="I52" s="10">
        <f>SUMIFS(calc_expenses!$L$2:$L$91,calc_expenses!$B$2:$B$91,properties!$A$12)</f>
        <v/>
      </c>
      <c r="J52" s="10">
        <f>F52-G52-H52-I52</f>
        <v/>
      </c>
      <c r="K52" s="10">
        <f>SUMIFS(calc_payments!$P$2:$P$77,calc_payments!$C$2:$C$77,properties!$A$12)</f>
        <v/>
      </c>
      <c r="L52" s="12">
        <f>SUMIFS(calc_reservations!$AN$2:$AN$152,calc_reservations!$B$2:$B$152,properties!$A$12)</f>
        <v/>
      </c>
      <c r="M52" s="12">
        <f>SUMIFS(calc_reservations!$AO$2:$AO$152,calc_reservations!$B$2:$B$152,properties!$A$12)</f>
        <v/>
      </c>
    </row>
    <row r="53">
      <c r="B53" s="9">
        <f>properties!A13&amp;" · "&amp;properties!C13</f>
        <v/>
      </c>
      <c r="C53" s="9">
        <f>properties!C13</f>
        <v/>
      </c>
      <c r="D53" s="10">
        <f>SUMIFS(calc_reservations!$AF$2:$AF$152,calc_reservations!$B$2:$B$152,properties!$A$13)</f>
        <v/>
      </c>
      <c r="E53" s="10">
        <f>SUMIFS(calc_reservations!$AG$2:$AG$152,calc_reservations!$B$2:$B$152,properties!$A$13)</f>
        <v/>
      </c>
      <c r="F53" s="10">
        <f>D53-E53</f>
        <v/>
      </c>
      <c r="G53" s="10">
        <f>SUMIFS(calc_reservations!$AI$2:$AI$152,calc_reservations!$B$2:$B$152,properties!$A$13)</f>
        <v/>
      </c>
      <c r="H53" s="10">
        <f>SUMIFS(calc_reservations!$AJ$2:$AJ$152,calc_reservations!$B$2:$B$152,properties!$A$13)</f>
        <v/>
      </c>
      <c r="I53" s="10">
        <f>SUMIFS(calc_expenses!$L$2:$L$91,calc_expenses!$B$2:$B$91,properties!$A$13)</f>
        <v/>
      </c>
      <c r="J53" s="10">
        <f>F53-G53-H53-I53</f>
        <v/>
      </c>
      <c r="K53" s="10">
        <f>SUMIFS(calc_payments!$P$2:$P$77,calc_payments!$C$2:$C$77,properties!$A$13)</f>
        <v/>
      </c>
      <c r="L53" s="12">
        <f>SUMIFS(calc_reservations!$AN$2:$AN$152,calc_reservations!$B$2:$B$152,properties!$A$13)</f>
        <v/>
      </c>
      <c r="M53" s="12">
        <f>SUMIFS(calc_reservations!$AO$2:$AO$152,calc_reservations!$B$2:$B$152,properties!$A$13)</f>
        <v/>
      </c>
    </row>
    <row r="54">
      <c r="B54" s="9">
        <f>properties!A14&amp;" · "&amp;properties!C14</f>
        <v/>
      </c>
      <c r="C54" s="9">
        <f>properties!C14</f>
        <v/>
      </c>
      <c r="D54" s="10">
        <f>SUMIFS(calc_reservations!$AF$2:$AF$152,calc_reservations!$B$2:$B$152,properties!$A$14)</f>
        <v/>
      </c>
      <c r="E54" s="10">
        <f>SUMIFS(calc_reservations!$AG$2:$AG$152,calc_reservations!$B$2:$B$152,properties!$A$14)</f>
        <v/>
      </c>
      <c r="F54" s="10">
        <f>D54-E54</f>
        <v/>
      </c>
      <c r="G54" s="10">
        <f>SUMIFS(calc_reservations!$AI$2:$AI$152,calc_reservations!$B$2:$B$152,properties!$A$14)</f>
        <v/>
      </c>
      <c r="H54" s="10">
        <f>SUMIFS(calc_reservations!$AJ$2:$AJ$152,calc_reservations!$B$2:$B$152,properties!$A$14)</f>
        <v/>
      </c>
      <c r="I54" s="10">
        <f>SUMIFS(calc_expenses!$L$2:$L$91,calc_expenses!$B$2:$B$91,properties!$A$14)</f>
        <v/>
      </c>
      <c r="J54" s="10">
        <f>F54-G54-H54-I54</f>
        <v/>
      </c>
      <c r="K54" s="10">
        <f>SUMIFS(calc_payments!$P$2:$P$77,calc_payments!$C$2:$C$77,properties!$A$14)</f>
        <v/>
      </c>
      <c r="L54" s="12">
        <f>SUMIFS(calc_reservations!$AN$2:$AN$152,calc_reservations!$B$2:$B$152,properties!$A$14)</f>
        <v/>
      </c>
      <c r="M54" s="12">
        <f>SUMIFS(calc_reservations!$AO$2:$AO$152,calc_reservations!$B$2:$B$152,properties!$A$14)</f>
        <v/>
      </c>
    </row>
    <row r="55">
      <c r="B55" s="9">
        <f>properties!A15&amp;" · "&amp;properties!C15</f>
        <v/>
      </c>
      <c r="C55" s="9">
        <f>properties!C15</f>
        <v/>
      </c>
      <c r="D55" s="10">
        <f>SUMIFS(calc_reservations!$AF$2:$AF$152,calc_reservations!$B$2:$B$152,properties!$A$15)</f>
        <v/>
      </c>
      <c r="E55" s="10">
        <f>SUMIFS(calc_reservations!$AG$2:$AG$152,calc_reservations!$B$2:$B$152,properties!$A$15)</f>
        <v/>
      </c>
      <c r="F55" s="10">
        <f>D55-E55</f>
        <v/>
      </c>
      <c r="G55" s="10">
        <f>SUMIFS(calc_reservations!$AI$2:$AI$152,calc_reservations!$B$2:$B$152,properties!$A$15)</f>
        <v/>
      </c>
      <c r="H55" s="10">
        <f>SUMIFS(calc_reservations!$AJ$2:$AJ$152,calc_reservations!$B$2:$B$152,properties!$A$15)</f>
        <v/>
      </c>
      <c r="I55" s="10">
        <f>SUMIFS(calc_expenses!$L$2:$L$91,calc_expenses!$B$2:$B$91,properties!$A$15)</f>
        <v/>
      </c>
      <c r="J55" s="10">
        <f>F55-G55-H55-I55</f>
        <v/>
      </c>
      <c r="K55" s="10">
        <f>SUMIFS(calc_payments!$P$2:$P$77,calc_payments!$C$2:$C$77,properties!$A$15)</f>
        <v/>
      </c>
      <c r="L55" s="12">
        <f>SUMIFS(calc_reservations!$AN$2:$AN$152,calc_reservations!$B$2:$B$152,properties!$A$15)</f>
        <v/>
      </c>
      <c r="M55" s="12">
        <f>SUMIFS(calc_reservations!$AO$2:$AO$152,calc_reservations!$B$2:$B$152,properties!$A$15)</f>
        <v/>
      </c>
    </row>
    <row r="56">
      <c r="B56" s="9">
        <f>properties!A16&amp;" · "&amp;properties!C16</f>
        <v/>
      </c>
      <c r="C56" s="9">
        <f>properties!C16</f>
        <v/>
      </c>
      <c r="D56" s="10">
        <f>SUMIFS(calc_reservations!$AF$2:$AF$152,calc_reservations!$B$2:$B$152,properties!$A$16)</f>
        <v/>
      </c>
      <c r="E56" s="10">
        <f>SUMIFS(calc_reservations!$AG$2:$AG$152,calc_reservations!$B$2:$B$152,properties!$A$16)</f>
        <v/>
      </c>
      <c r="F56" s="10">
        <f>D56-E56</f>
        <v/>
      </c>
      <c r="G56" s="10">
        <f>SUMIFS(calc_reservations!$AI$2:$AI$152,calc_reservations!$B$2:$B$152,properties!$A$16)</f>
        <v/>
      </c>
      <c r="H56" s="10">
        <f>SUMIFS(calc_reservations!$AJ$2:$AJ$152,calc_reservations!$B$2:$B$152,properties!$A$16)</f>
        <v/>
      </c>
      <c r="I56" s="10">
        <f>SUMIFS(calc_expenses!$L$2:$L$91,calc_expenses!$B$2:$B$91,properties!$A$16)</f>
        <v/>
      </c>
      <c r="J56" s="10">
        <f>F56-G56-H56-I56</f>
        <v/>
      </c>
      <c r="K56" s="10">
        <f>SUMIFS(calc_payments!$P$2:$P$77,calc_payments!$C$2:$C$77,properties!$A$16)</f>
        <v/>
      </c>
      <c r="L56" s="12">
        <f>SUMIFS(calc_reservations!$AN$2:$AN$152,calc_reservations!$B$2:$B$152,properties!$A$16)</f>
        <v/>
      </c>
      <c r="M56" s="12">
        <f>SUMIFS(calc_reservations!$AO$2:$AO$152,calc_reservations!$B$2:$B$152,properties!$A$16)</f>
        <v/>
      </c>
    </row>
    <row r="57">
      <c r="B57" s="9">
        <f>properties!A17&amp;" · "&amp;properties!C17</f>
        <v/>
      </c>
      <c r="C57" s="9">
        <f>properties!C17</f>
        <v/>
      </c>
      <c r="D57" s="10">
        <f>SUMIFS(calc_reservations!$AF$2:$AF$152,calc_reservations!$B$2:$B$152,properties!$A$17)</f>
        <v/>
      </c>
      <c r="E57" s="10">
        <f>SUMIFS(calc_reservations!$AG$2:$AG$152,calc_reservations!$B$2:$B$152,properties!$A$17)</f>
        <v/>
      </c>
      <c r="F57" s="10">
        <f>D57-E57</f>
        <v/>
      </c>
      <c r="G57" s="10">
        <f>SUMIFS(calc_reservations!$AI$2:$AI$152,calc_reservations!$B$2:$B$152,properties!$A$17)</f>
        <v/>
      </c>
      <c r="H57" s="10">
        <f>SUMIFS(calc_reservations!$AJ$2:$AJ$152,calc_reservations!$B$2:$B$152,properties!$A$17)</f>
        <v/>
      </c>
      <c r="I57" s="10">
        <f>SUMIFS(calc_expenses!$L$2:$L$91,calc_expenses!$B$2:$B$91,properties!$A$17)</f>
        <v/>
      </c>
      <c r="J57" s="10">
        <f>F57-G57-H57-I57</f>
        <v/>
      </c>
      <c r="K57" s="10">
        <f>SUMIFS(calc_payments!$P$2:$P$77,calc_payments!$C$2:$C$77,properties!$A$17)</f>
        <v/>
      </c>
      <c r="L57" s="12">
        <f>SUMIFS(calc_reservations!$AN$2:$AN$152,calc_reservations!$B$2:$B$152,properties!$A$17)</f>
        <v/>
      </c>
      <c r="M57" s="12">
        <f>SUMIFS(calc_reservations!$AO$2:$AO$152,calc_reservations!$B$2:$B$152,properties!$A$17)</f>
        <v/>
      </c>
    </row>
    <row r="58">
      <c r="B58" s="9">
        <f>properties!A18&amp;" · "&amp;properties!C18</f>
        <v/>
      </c>
      <c r="C58" s="9">
        <f>properties!C18</f>
        <v/>
      </c>
      <c r="D58" s="10">
        <f>SUMIFS(calc_reservations!$AF$2:$AF$152,calc_reservations!$B$2:$B$152,properties!$A$18)</f>
        <v/>
      </c>
      <c r="E58" s="10">
        <f>SUMIFS(calc_reservations!$AG$2:$AG$152,calc_reservations!$B$2:$B$152,properties!$A$18)</f>
        <v/>
      </c>
      <c r="F58" s="10">
        <f>D58-E58</f>
        <v/>
      </c>
      <c r="G58" s="10">
        <f>SUMIFS(calc_reservations!$AI$2:$AI$152,calc_reservations!$B$2:$B$152,properties!$A$18)</f>
        <v/>
      </c>
      <c r="H58" s="10">
        <f>SUMIFS(calc_reservations!$AJ$2:$AJ$152,calc_reservations!$B$2:$B$152,properties!$A$18)</f>
        <v/>
      </c>
      <c r="I58" s="10">
        <f>SUMIFS(calc_expenses!$L$2:$L$91,calc_expenses!$B$2:$B$91,properties!$A$18)</f>
        <v/>
      </c>
      <c r="J58" s="10">
        <f>F58-G58-H58-I58</f>
        <v/>
      </c>
      <c r="K58" s="10">
        <f>SUMIFS(calc_payments!$P$2:$P$77,calc_payments!$C$2:$C$77,properties!$A$18)</f>
        <v/>
      </c>
      <c r="L58" s="12">
        <f>SUMIFS(calc_reservations!$AN$2:$AN$152,calc_reservations!$B$2:$B$152,properties!$A$18)</f>
        <v/>
      </c>
      <c r="M58" s="12">
        <f>SUMIFS(calc_reservations!$AO$2:$AO$152,calc_reservations!$B$2:$B$152,properties!$A$18)</f>
        <v/>
      </c>
    </row>
    <row r="59">
      <c r="B59" s="9">
        <f>properties!A19&amp;" · "&amp;properties!C19</f>
        <v/>
      </c>
      <c r="C59" s="9">
        <f>properties!C19</f>
        <v/>
      </c>
      <c r="D59" s="10">
        <f>SUMIFS(calc_reservations!$AF$2:$AF$152,calc_reservations!$B$2:$B$152,properties!$A$19)</f>
        <v/>
      </c>
      <c r="E59" s="10">
        <f>SUMIFS(calc_reservations!$AG$2:$AG$152,calc_reservations!$B$2:$B$152,properties!$A$19)</f>
        <v/>
      </c>
      <c r="F59" s="10">
        <f>D59-E59</f>
        <v/>
      </c>
      <c r="G59" s="10">
        <f>SUMIFS(calc_reservations!$AI$2:$AI$152,calc_reservations!$B$2:$B$152,properties!$A$19)</f>
        <v/>
      </c>
      <c r="H59" s="10">
        <f>SUMIFS(calc_reservations!$AJ$2:$AJ$152,calc_reservations!$B$2:$B$152,properties!$A$19)</f>
        <v/>
      </c>
      <c r="I59" s="10">
        <f>SUMIFS(calc_expenses!$L$2:$L$91,calc_expenses!$B$2:$B$91,properties!$A$19)</f>
        <v/>
      </c>
      <c r="J59" s="10">
        <f>F59-G59-H59-I59</f>
        <v/>
      </c>
      <c r="K59" s="10">
        <f>SUMIFS(calc_payments!$P$2:$P$77,calc_payments!$C$2:$C$77,properties!$A$19)</f>
        <v/>
      </c>
      <c r="L59" s="12">
        <f>SUMIFS(calc_reservations!$AN$2:$AN$152,calc_reservations!$B$2:$B$152,properties!$A$19)</f>
        <v/>
      </c>
      <c r="M59" s="12">
        <f>SUMIFS(calc_reservations!$AO$2:$AO$152,calc_reservations!$B$2:$B$152,properties!$A$19)</f>
        <v/>
      </c>
    </row>
    <row r="60">
      <c r="B60" s="9">
        <f>properties!A20&amp;" · "&amp;properties!C20</f>
        <v/>
      </c>
      <c r="C60" s="9">
        <f>properties!C20</f>
        <v/>
      </c>
      <c r="D60" s="10">
        <f>SUMIFS(calc_reservations!$AF$2:$AF$152,calc_reservations!$B$2:$B$152,properties!$A$20)</f>
        <v/>
      </c>
      <c r="E60" s="10">
        <f>SUMIFS(calc_reservations!$AG$2:$AG$152,calc_reservations!$B$2:$B$152,properties!$A$20)</f>
        <v/>
      </c>
      <c r="F60" s="10">
        <f>D60-E60</f>
        <v/>
      </c>
      <c r="G60" s="10">
        <f>SUMIFS(calc_reservations!$AI$2:$AI$152,calc_reservations!$B$2:$B$152,properties!$A$20)</f>
        <v/>
      </c>
      <c r="H60" s="10">
        <f>SUMIFS(calc_reservations!$AJ$2:$AJ$152,calc_reservations!$B$2:$B$152,properties!$A$20)</f>
        <v/>
      </c>
      <c r="I60" s="10">
        <f>SUMIFS(calc_expenses!$L$2:$L$91,calc_expenses!$B$2:$B$91,properties!$A$20)</f>
        <v/>
      </c>
      <c r="J60" s="10">
        <f>F60-G60-H60-I60</f>
        <v/>
      </c>
      <c r="K60" s="10">
        <f>SUMIFS(calc_payments!$P$2:$P$77,calc_payments!$C$2:$C$77,properties!$A$20)</f>
        <v/>
      </c>
      <c r="L60" s="12">
        <f>SUMIFS(calc_reservations!$AN$2:$AN$152,calc_reservations!$B$2:$B$152,properties!$A$20)</f>
        <v/>
      </c>
      <c r="M60" s="12">
        <f>SUMIFS(calc_reservations!$AO$2:$AO$152,calc_reservations!$B$2:$B$152,properties!$A$20)</f>
        <v/>
      </c>
    </row>
    <row r="61">
      <c r="B61" s="9">
        <f>properties!A21&amp;" · "&amp;properties!C21</f>
        <v/>
      </c>
      <c r="C61" s="9">
        <f>properties!C21</f>
        <v/>
      </c>
      <c r="D61" s="10">
        <f>SUMIFS(calc_reservations!$AF$2:$AF$152,calc_reservations!$B$2:$B$152,properties!$A$21)</f>
        <v/>
      </c>
      <c r="E61" s="10">
        <f>SUMIFS(calc_reservations!$AG$2:$AG$152,calc_reservations!$B$2:$B$152,properties!$A$21)</f>
        <v/>
      </c>
      <c r="F61" s="10">
        <f>D61-E61</f>
        <v/>
      </c>
      <c r="G61" s="10">
        <f>SUMIFS(calc_reservations!$AI$2:$AI$152,calc_reservations!$B$2:$B$152,properties!$A$21)</f>
        <v/>
      </c>
      <c r="H61" s="10">
        <f>SUMIFS(calc_reservations!$AJ$2:$AJ$152,calc_reservations!$B$2:$B$152,properties!$A$21)</f>
        <v/>
      </c>
      <c r="I61" s="10">
        <f>SUMIFS(calc_expenses!$L$2:$L$91,calc_expenses!$B$2:$B$91,properties!$A$21)</f>
        <v/>
      </c>
      <c r="J61" s="10">
        <f>F61-G61-H61-I61</f>
        <v/>
      </c>
      <c r="K61" s="10">
        <f>SUMIFS(calc_payments!$P$2:$P$77,calc_payments!$C$2:$C$77,properties!$A$21)</f>
        <v/>
      </c>
      <c r="L61" s="12">
        <f>SUMIFS(calc_reservations!$AN$2:$AN$152,calc_reservations!$B$2:$B$152,properties!$A$21)</f>
        <v/>
      </c>
      <c r="M61" s="12">
        <f>SUMIFS(calc_reservations!$AO$2:$AO$152,calc_reservations!$B$2:$B$152,properties!$A$21)</f>
        <v/>
      </c>
    </row>
    <row r="62">
      <c r="B62" s="3" t="inlineStr">
        <is>
          <t>Итого</t>
        </is>
      </c>
      <c r="D62" s="11">
        <f>SUM(D42:D61)</f>
        <v/>
      </c>
      <c r="E62" s="11">
        <f>SUM(E42:E61)</f>
        <v/>
      </c>
      <c r="F62" s="11">
        <f>SUM(F42:F61)</f>
        <v/>
      </c>
      <c r="G62" s="11">
        <f>SUM(G42:G61)</f>
        <v/>
      </c>
      <c r="H62" s="11">
        <f>SUM(H42:H61)</f>
        <v/>
      </c>
      <c r="I62" s="11">
        <f>SUM(I42:I61)</f>
        <v/>
      </c>
      <c r="J62" s="11">
        <f>SUM(J42:J61)</f>
        <v/>
      </c>
      <c r="K62" s="11">
        <f>SUM(K42:K61)</f>
        <v/>
      </c>
      <c r="L62" s="14">
        <f>SUM(L42:L61)</f>
        <v/>
      </c>
      <c r="M62" s="14">
        <f>SUM(M42:M61)</f>
        <v/>
      </c>
    </row>
    <row r="63">
      <c r="B63" s="2" t="inlineStr">
        <is>
          <t>Итог по объектам совпадает с блоком выше при «Объект = Все». Записи с V999/V777 сюда не входят: таких объектов нет.</t>
        </is>
      </c>
    </row>
  </sheetData>
  <dataValidations count="3">
    <dataValidation sqref="C4" showDropDown="0" showInputMessage="0" showErrorMessage="0" allowBlank="0" type="list">
      <formula1>"Все,V001,V002,V003,V004,V005,V006,V007,V008,V009,V010,V011,V012,V013,V014,V015,V016,V017,V018,V019,V020"</formula1>
    </dataValidation>
    <dataValidation sqref="C7" showDropDown="0" showInputMessage="0" showErrorMessage="0" allowBlank="0" type="list">
      <formula1>"Да,Нет"</formula1>
    </dataValidation>
    <dataValidation sqref="C5 C6" showDropDown="0" showInputMessage="0" showErrorMessage="0" allowBlank="0" type="date" operator="between">
      <formula1>DATE(2026,1,1)</formula1>
      <formula2>DATE(2027,12,31)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6F9F"/>
    <outlinePr summaryBelow="1" summaryRight="1"/>
    <pageSetUpPr/>
  </sheetPr>
  <dimension ref="B1:D7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62" customWidth="1" min="3" max="3"/>
    <col width="46" customWidth="1" min="4" max="4"/>
  </cols>
  <sheetData>
    <row r="1">
      <c r="B1" s="15" t="inlineStr">
        <is>
          <t>Методология, допущения и архитектура</t>
        </is>
      </c>
      <c r="C1" s="15" t="inlineStr"/>
      <c r="D1" s="15" t="inlineStr"/>
    </row>
    <row r="2">
      <c r="B2" s="16" t="inlineStr">
        <is>
          <t>Прототип в рамках тестового задания на 2–3 часа: рабочее ядро расчёта, диагностика данных и схема дальнейшей системы. Production-система не делалась.</t>
        </is>
      </c>
      <c r="C2" s="16" t="inlineStr"/>
      <c r="D2" s="16" t="inlineStr"/>
    </row>
    <row r="4">
      <c r="B4" s="17" t="inlineStr">
        <is>
          <t>1. Финансовая логика</t>
        </is>
      </c>
      <c r="C4" s="17" t="inlineStr"/>
      <c r="D4" s="17" t="inlineStr"/>
    </row>
    <row r="5">
      <c r="B5" s="18" t="inlineStr">
        <is>
          <t>Показатель</t>
        </is>
      </c>
      <c r="C5" s="18" t="inlineStr">
        <is>
          <t>Формула</t>
        </is>
      </c>
      <c r="D5" s="18" t="inlineStr">
        <is>
          <t>Где в таблице</t>
        </is>
      </c>
    </row>
    <row r="6">
      <c r="B6" s="19" t="inlineStr">
        <is>
          <t>Доля брони в периоде</t>
        </is>
      </c>
      <c r="C6" s="19" t="inlineStr">
        <is>
          <t>ночей в периоде / всего ночей брони. Ночь — дата от check_in включительно до check_out не включая</t>
        </is>
      </c>
      <c r="D6" s="19" t="inlineStr">
        <is>
          <t>calc_reservations: AD, AE</t>
        </is>
      </c>
    </row>
    <row r="7">
      <c r="B7" s="19" t="inlineStr">
        <is>
          <t>Gross bookings</t>
        </is>
      </c>
      <c r="C7" s="19" t="inlineStr">
        <is>
          <t>gross_booking_value × доля</t>
        </is>
      </c>
      <c r="D7" s="19" t="inlineStr">
        <is>
          <t>calc_reservations: AF</t>
        </is>
      </c>
    </row>
    <row r="8">
      <c r="B8" s="19" t="inlineStr">
        <is>
          <t>Net booking value</t>
        </is>
      </c>
      <c r="C8" s="19" t="inlineStr">
        <is>
          <t>gross − refund_amount</t>
        </is>
      </c>
      <c r="D8" s="19" t="inlineStr">
        <is>
          <t>calc_reservations: W, AH</t>
        </is>
      </c>
    </row>
    <row r="9">
      <c r="B9" s="19" t="inlineStr">
        <is>
          <t>OTA fees</t>
        </is>
      </c>
      <c r="C9" s="19" t="inlineStr">
        <is>
          <t>ota_fee × net / gross (при полном возврате = 0)</t>
        </is>
      </c>
      <c r="D9" s="19" t="inlineStr">
        <is>
          <t>calc_reservations: X, AI</t>
        </is>
      </c>
    </row>
    <row r="10">
      <c r="B10" s="19" t="inlineStr">
        <is>
          <t>Management fee</t>
        </is>
      </c>
      <c r="C10" s="19" t="inlineStr">
        <is>
          <t>ставка из commission_rules по объекту и дате check_in × net</t>
        </is>
      </c>
      <c r="D10" s="19" t="inlineStr">
        <is>
          <t>calc_reservations: V, Y, AJ</t>
        </is>
      </c>
    </row>
    <row r="11">
      <c r="B11" s="19" t="inlineStr">
        <is>
          <t>Операционные расходы</t>
        </is>
      </c>
      <c r="C11" s="19" t="inlineStr">
        <is>
          <t>amount по expense_date, включая pending</t>
        </is>
      </c>
      <c r="D11" s="19" t="inlineStr">
        <is>
          <t>calc_expenses: L</t>
        </is>
      </c>
    </row>
    <row r="12">
      <c r="B12" s="19" t="inlineStr">
        <is>
          <t>Owner balance (оценка)</t>
        </is>
      </c>
      <c r="C12" s="19" t="inlineStr">
        <is>
          <t>net − OTA fees − management fee − расходы</t>
        </is>
      </c>
      <c r="D12" s="19" t="inlineStr">
        <is>
          <t>Dashboard: C17</t>
        </is>
      </c>
    </row>
    <row r="13">
      <c r="B13" s="19" t="inlineStr">
        <is>
          <t>Начислено к получению</t>
        </is>
      </c>
      <c r="C13" s="19" t="inlineStr">
        <is>
          <t>net − OTA fees (платёж приходит уже за вычетом ota_fee)</t>
        </is>
      </c>
      <c r="D13" s="19" t="inlineStr">
        <is>
          <t>Dashboard: C21</t>
        </is>
      </c>
    </row>
    <row r="14">
      <c r="B14" s="19" t="inlineStr">
        <is>
          <t>Поступило</t>
        </is>
      </c>
      <c r="C14" s="19" t="inlineStr">
        <is>
          <t>payments по payment_date, без дублей, нулей и неизвестных объектов</t>
        </is>
      </c>
      <c r="D14" s="19" t="inlineStr">
        <is>
          <t>calc_payments: P</t>
        </is>
      </c>
    </row>
    <row r="16">
      <c r="B16" s="17" t="inlineStr">
        <is>
          <t>2. Правила обработки</t>
        </is>
      </c>
      <c r="C16" s="17" t="inlineStr"/>
      <c r="D16" s="17" t="inlineStr"/>
    </row>
    <row r="17">
      <c r="B17" s="19" t="inlineStr">
        <is>
          <t>Признание выручки</t>
        </is>
      </c>
      <c r="C17" s="19" t="inlineStr">
        <is>
          <t>По ночам проживания, как требует МСФО (IFRS) 15: услуга проживания оказывается во времени, каждую ночь. Для сравнения, по дате выезда gross сентября 683 262 688 вместо 757 178 005, октября 636 261 198 вместо 585 637 031, а 23 291 150 уходят в ноябрь (R0003, R0052).</t>
        </is>
      </c>
      <c r="D17" s="19" t="inlineStr"/>
    </row>
    <row r="18">
      <c r="B18" s="19" t="inlineStr">
        <is>
          <t>Выручка и деньги</t>
        </is>
      </c>
      <c r="C18" s="19" t="inlineStr">
        <is>
          <t>Начисления привязаны к ночам проживания, деньги — к дате платежа. Это разные числа, на дашборде они в разных блоках и не складываются.</t>
        </is>
      </c>
      <c r="D18" s="19" t="inlineStr"/>
    </row>
    <row r="19">
      <c r="B19" s="19" t="inlineStr">
        <is>
          <t>Отмены</t>
        </is>
      </c>
      <c r="C19" s="19" t="inlineStr">
        <is>
          <t>Все 12 отмен имеют refund = gross. Net = 0, management fee = 0. OTA fee сторнируется пропорционально оставшейся сумме — допущение, вынесено в вопросы.</t>
        </is>
      </c>
      <c r="D19" s="19" t="inlineStr"/>
    </row>
    <row r="20">
      <c r="B20" s="19" t="inlineStr">
        <is>
          <t>Возвраты</t>
        </is>
      </c>
      <c r="C20" s="19" t="inlineStr">
        <is>
          <t>Уменьшают net и базу management fee. Возврат больше суммы брони или возврат при статусе confirmed — запись исключается и уходит на проверку.</t>
        </is>
      </c>
      <c r="D20" s="19" t="inlineStr"/>
    </row>
    <row r="21">
      <c r="B21" s="19" t="inlineStr">
        <is>
          <t>Даты</t>
        </is>
      </c>
      <c r="C21" s="19" t="inlineStr">
        <is>
          <t>Бронь, переходящая через границу месяца, делится по ночам. Бронь с выездом 01.11 целиком относится к октябрю. Платёж учитывается в периоде по payment_date.</t>
        </is>
      </c>
      <c r="D21" s="19" t="inlineStr"/>
    </row>
    <row r="22">
      <c r="B22" s="19" t="inlineStr">
        <is>
          <t>Комиссия УК</t>
        </is>
      </c>
      <c r="C22" s="19" t="inlineStr">
        <is>
          <t>База — gross_booking_value. По правилу «OTA fees are separate» комиссия OTA базу не уменьшает. Ставка 17%, для вилл Bukit 20%.</t>
        </is>
      </c>
      <c r="D22" s="19" t="inlineStr"/>
    </row>
    <row r="23">
      <c r="B23" s="19" t="inlineStr">
        <is>
          <t>Расходы</t>
        </is>
      </c>
      <c r="C23" s="19" t="inlineStr">
        <is>
          <t>В начисления попадают все, в отток денег — только paid. Pending показан отдельно.</t>
        </is>
      </c>
      <c r="D23" s="19" t="inlineStr"/>
    </row>
    <row r="24">
      <c r="B24" s="19" t="inlineStr">
        <is>
          <t>Качество данных</t>
        </is>
      </c>
      <c r="C24" s="19" t="inlineStr">
        <is>
          <t>Исключено — не в расчёте. На проверке — в расчёте, но помечено; на Dashboard можно выключить. Вопрос — решение за финансами. Список на листе dq_log.</t>
        </is>
      </c>
      <c r="D24" s="19" t="inlineStr"/>
    </row>
    <row r="26">
      <c r="B26" s="17" t="inlineStr">
        <is>
          <t>3. Почему owner balance — оценка</t>
        </is>
      </c>
      <c r="C26" s="17" t="inlineStr"/>
      <c r="D26" s="17" t="inlineStr"/>
    </row>
    <row r="27">
      <c r="B27" s="19" t="inlineStr"/>
      <c r="C27" s="19" t="inlineStr">
        <is>
          <t>Нет начального сальдо и выплат собственнику</t>
        </is>
      </c>
      <c r="D27" s="19" t="inlineStr"/>
    </row>
    <row r="28">
      <c r="B28" s="19" t="inlineStr"/>
      <c r="C28" s="19" t="inlineStr">
        <is>
          <t>Нет налогов и правила, кто их платит</t>
        </is>
      </c>
      <c r="D28" s="19" t="inlineStr"/>
    </row>
    <row r="29">
      <c r="B29" s="19" t="inlineStr"/>
      <c r="C29" s="19" t="inlineStr">
        <is>
          <t>Нет правил удержаний при отменах</t>
        </is>
      </c>
      <c r="D29" s="19" t="inlineStr"/>
    </row>
    <row r="30">
      <c r="B30" s="19" t="inlineStr"/>
      <c r="C30" s="19" t="inlineStr">
        <is>
          <t>Нет курса валют для броней не в IDR</t>
        </is>
      </c>
      <c r="D30" s="19" t="inlineStr"/>
    </row>
    <row r="31">
      <c r="B31" s="19" t="inlineStr"/>
      <c r="C31" s="19" t="inlineStr">
        <is>
          <t>Не определено, какие расходы несёт собственник</t>
        </is>
      </c>
      <c r="D31" s="19" t="inlineStr"/>
    </row>
    <row r="32">
      <c r="B32" s="19" t="inlineStr"/>
      <c r="C32" s="19" t="inlineStr">
        <is>
          <t>Неизвестна дата среза данных</t>
        </is>
      </c>
      <c r="D32" s="19" t="inlineStr"/>
    </row>
    <row r="34">
      <c r="B34" s="17" t="inlineStr">
        <is>
          <t>4. Архитектура будущей системы</t>
        </is>
      </c>
      <c r="C34" s="17" t="inlineStr"/>
      <c r="D34" s="17" t="inlineStr"/>
    </row>
    <row r="54">
      <c r="B54" s="18" t="inlineStr">
        <is>
          <t>Этап</t>
        </is>
      </c>
      <c r="C54" s="18" t="inlineStr">
        <is>
          <t>Что происходит</t>
        </is>
      </c>
      <c r="D54" s="18" t="inlineStr">
        <is>
          <t>Инструменты (вариант)</t>
        </is>
      </c>
    </row>
    <row r="55">
      <c r="B55" s="19" t="inlineStr">
        <is>
          <t>Источники</t>
        </is>
      </c>
      <c r="C55" s="19" t="inlineStr">
        <is>
          <t>Channel manager / OTA, PMS, банковские выписки, учёт расходов, договоры со ставками</t>
        </is>
      </c>
      <c r="D55" s="19" t="inlineStr">
        <is>
          <t>API, CSV-выгрузки</t>
        </is>
      </c>
    </row>
    <row r="56">
      <c r="B56" s="19" t="inlineStr">
        <is>
          <t>Загрузка</t>
        </is>
      </c>
      <c r="C56" s="19" t="inlineStr">
        <is>
          <t>Импорт по расписанию в raw-слой: данные как пришли, с load_id и хешем файла</t>
        </is>
      </c>
      <c r="D56" s="19" t="inlineStr">
        <is>
          <t>n8n / Airbyte / Apps Script</t>
        </is>
      </c>
    </row>
    <row r="57">
      <c r="B57" s="19" t="inlineStr">
        <is>
          <t>Проверка и хранение</t>
        </is>
      </c>
      <c r="C57" s="19" t="inlineStr">
        <is>
          <t>Staging (типы), DQ-правила, карантин для ошибок, core с версиями записей и справочниками</t>
        </is>
      </c>
      <c r="D57" s="19" t="inlineStr">
        <is>
          <t>Postgres или BigQuery</t>
        </is>
      </c>
    </row>
    <row r="58">
      <c r="B58" s="19" t="inlineStr">
        <is>
          <t>Расчёты</t>
        </is>
      </c>
      <c r="C58" s="19" t="inlineStr">
        <is>
          <t>Ночи и доли периода, комиссии, сверка с платежами, owner statement — одна версия логики</t>
        </is>
      </c>
      <c r="D58" s="19" t="inlineStr">
        <is>
          <t>SQL / dbt</t>
        </is>
      </c>
    </row>
    <row r="59">
      <c r="B59" s="19" t="inlineStr">
        <is>
          <t>Dashboard</t>
        </is>
      </c>
      <c r="C59" s="19" t="inlineStr">
        <is>
          <t>Финансы видят всё и качество данных, собственники — только свои виллы</t>
        </is>
      </c>
      <c r="D59" s="19" t="inlineStr">
        <is>
          <t>Metabase / Looker Studio</t>
        </is>
      </c>
    </row>
    <row r="61">
      <c r="B61" s="20" t="inlineStr">
        <is>
          <t>Повторный импорт без дублей</t>
        </is>
      </c>
      <c r="C61" s="19" t="inlineStr">
        <is>
          <t>Файл с тем же хешем не грузится повторно. Запись в core определяется ключом (source + reservation_id, payment_id, expense_id) и пишется через upsert. Более поздний updated_at создаёт новую версию, идентичная строка игнорируется.</t>
        </is>
      </c>
      <c r="D61" s="19" t="inlineStr"/>
    </row>
    <row r="62">
      <c r="B62" s="20" t="inlineStr">
        <is>
          <t>Аудит изменений</t>
        </is>
      </c>
      <c r="C62" s="19" t="inlineStr">
        <is>
          <t>Raw не меняется. У строк core есть load_id, valid_from, valid_to. Исправления — отдельными корректировками с автором и причиной. Решения по карантину пишутся в журнал, закрытый месяц блокируется.</t>
        </is>
      </c>
      <c r="D62" s="19" t="inlineStr"/>
    </row>
    <row r="63">
      <c r="B63" s="20" t="inlineStr">
        <is>
          <t>Разграничение доступа</t>
        </is>
      </c>
      <c r="C63" s="19" t="inlineStr">
        <is>
          <t>Роли: финансы, операционная команда, собственник (row-level security по owner_id, только чтение), администратор. Загрузка под сервисной учётной записью, ключи в secret manager.</t>
        </is>
      </c>
      <c r="D63" s="19" t="inlineStr"/>
    </row>
    <row r="65">
      <c r="B65" s="17" t="inlineStr">
        <is>
          <t>5. Вопросы финансовому директору</t>
        </is>
      </c>
      <c r="C65" s="17" t="inlineStr"/>
      <c r="D65" s="17" t="inlineStr"/>
    </row>
    <row r="66">
      <c r="B66" s="19" t="inlineStr">
        <is>
          <t>1.</t>
        </is>
      </c>
      <c r="C66" s="19" t="inlineStr">
        <is>
          <t>Подтверждаете признание выручки по ночам? Или для отчётов собственникам нужна дата выезда?</t>
        </is>
      </c>
      <c r="D66" s="19" t="inlineStr"/>
    </row>
    <row r="67">
      <c r="B67" s="19" t="inlineStr">
        <is>
          <t>2.</t>
        </is>
      </c>
      <c r="C67" s="19" t="inlineStr">
        <is>
          <t>Management fee считается от gross до возвратов или после?</t>
        </is>
      </c>
      <c r="D67" s="19" t="inlineStr"/>
    </row>
    <row r="68">
      <c r="B68" s="19" t="inlineStr">
        <is>
          <t>3.</t>
        </is>
      </c>
      <c r="C68" s="19" t="inlineStr">
        <is>
          <t>Удерживает ли OTA комиссию при отмене с полным возвратом?</t>
        </is>
      </c>
      <c r="D68" s="19" t="inlineStr"/>
    </row>
    <row r="69">
      <c r="B69" s="19" t="inlineStr">
        <is>
          <t>4.</t>
        </is>
      </c>
      <c r="C69" s="19" t="inlineStr">
        <is>
          <t>Что означает ota_fee у прямых броней (Direct)?</t>
        </is>
      </c>
      <c r="D69" s="19" t="inlineStr"/>
    </row>
    <row r="70">
      <c r="B70" s="19" t="inlineStr">
        <is>
          <t>5.</t>
        </is>
      </c>
      <c r="C70" s="19" t="inlineStr">
        <is>
          <t>Какие расходы относятся на собственника? Учитывать ли pending?</t>
        </is>
      </c>
      <c r="D70" s="19" t="inlineStr"/>
    </row>
    <row r="71">
      <c r="B71" s="19" t="inlineStr">
        <is>
          <t>6.</t>
        </is>
      </c>
      <c r="C71" s="19" t="inlineStr">
        <is>
          <t>Почему платежи есть только у броней с чётными номерами?</t>
        </is>
      </c>
      <c r="D71" s="19" t="inlineStr"/>
    </row>
    <row r="72">
      <c r="B72" s="19" t="inlineStr">
        <is>
          <t>7.</t>
        </is>
      </c>
      <c r="C72" s="19" t="inlineStr">
        <is>
          <t>На какую дату сделана выгрузка? Как трактовать платежи received с датой после 15.10?</t>
        </is>
      </c>
      <c r="D72" s="19" t="inlineStr"/>
    </row>
    <row r="73">
      <c r="B73" s="19" t="inlineStr">
        <is>
          <t>8.</t>
        </is>
      </c>
      <c r="C73" s="19" t="inlineStr">
        <is>
          <t>V999 и V777 — новые объекты, тестовые записи или опечатки?</t>
        </is>
      </c>
      <c r="D73" s="19" t="inlineStr"/>
    </row>
    <row r="74">
      <c r="B74" s="19" t="inlineStr">
        <is>
          <t>9.</t>
        </is>
      </c>
      <c r="C74" s="19" t="inlineStr">
        <is>
          <t>R0061: сумма в USD или ошибка в поле валюты?</t>
        </is>
      </c>
      <c r="D74" s="19" t="inlineStr"/>
    </row>
    <row r="75">
      <c r="B75" s="19" t="inlineStr">
        <is>
          <t>10.</t>
        </is>
      </c>
      <c r="C75" s="19" t="inlineStr">
        <is>
          <t>Как оформляется модификация брони: новая запись со ссылкой на старую или обновление?</t>
        </is>
      </c>
      <c r="D75" s="19" t="inlineStr"/>
    </row>
    <row r="76">
      <c r="B76" s="19" t="inlineStr">
        <is>
          <t>11.</t>
        </is>
      </c>
      <c r="C76" s="19" t="inlineStr">
        <is>
          <t>Какой системе верить, когда брони на одной вилле пересекаются?</t>
        </is>
      </c>
      <c r="D76" s="19" t="inlineStr"/>
    </row>
    <row r="77">
      <c r="B77" s="19" t="inlineStr">
        <is>
          <t>12.</t>
        </is>
      </c>
      <c r="C77" s="19" t="inlineStr">
        <is>
          <t>Какие налоги и удержания учитывать в балансе собственника?</t>
        </is>
      </c>
      <c r="D77" s="19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B5655B"/>
    <outlinePr summaryBelow="1" summaryRight="1"/>
    <pageSetUpPr/>
  </sheetPr>
  <dimension ref="A1:H1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6" customWidth="1" min="3" max="3"/>
    <col width="8" customWidth="1" min="4" max="4"/>
    <col width="18" customWidth="1" min="5" max="5"/>
    <col width="60" customWidth="1" min="6" max="6"/>
    <col width="26" customWidth="1" min="7" max="7"/>
    <col width="50" customWidth="1" min="8" max="8"/>
  </cols>
  <sheetData>
    <row r="1" ht="30" customHeight="1">
      <c r="A1" s="13" t="inlineStr">
        <is>
          <t>№</t>
        </is>
      </c>
      <c r="B1" s="13" t="inlineStr">
        <is>
          <t>Таблица</t>
        </is>
      </c>
      <c r="C1" s="13" t="inlineStr">
        <is>
          <t>Запись</t>
        </is>
      </c>
      <c r="D1" s="13" t="inlineStr">
        <is>
          <t>Строка CSV</t>
        </is>
      </c>
      <c r="E1" s="13" t="inlineStr">
        <is>
          <t>Проверка</t>
        </is>
      </c>
      <c r="F1" s="13" t="inlineStr">
        <is>
          <t>Что не так</t>
        </is>
      </c>
      <c r="G1" s="13" t="inlineStr">
        <is>
          <t>Решение</t>
        </is>
      </c>
      <c r="H1" s="13" t="inlineStr">
        <is>
          <t>Влияние на расчёт</t>
        </is>
      </c>
    </row>
    <row r="2">
      <c r="A2" s="19" t="n">
        <v>1</v>
      </c>
      <c r="B2" s="19" t="inlineStr">
        <is>
          <t>reservations</t>
        </is>
      </c>
      <c r="C2" s="19" t="inlineStr">
        <is>
          <t>R0034</t>
        </is>
      </c>
      <c r="D2" s="19" t="n">
        <v>35</v>
      </c>
      <c r="E2" s="19" t="inlineStr">
        <is>
          <t>Некорректный ID</t>
        </is>
      </c>
      <c r="F2" s="19" t="inlineStr">
        <is>
          <t>Объект V999 отсутствует в properties.csv</t>
        </is>
      </c>
      <c r="G2" s="21" t="inlineStr">
        <is>
          <t>Исключено + на проверку</t>
        </is>
      </c>
      <c r="H2" s="19" t="inlineStr">
        <is>
          <t>Нельзя отнести собственнику и ставке комиссии</t>
        </is>
      </c>
    </row>
    <row r="3">
      <c r="A3" s="19" t="n">
        <v>2</v>
      </c>
      <c r="B3" s="19" t="inlineStr">
        <is>
          <t>reservations</t>
        </is>
      </c>
      <c r="C3" s="19" t="inlineStr">
        <is>
          <t>R0061</t>
        </is>
      </c>
      <c r="D3" s="19" t="n">
        <v>62</v>
      </c>
      <c r="E3" s="19" t="inlineStr">
        <is>
          <t>Валюта</t>
        </is>
      </c>
      <c r="F3" s="19" t="inlineStr">
        <is>
          <t>Валюта USD  при этом base_currency объекта IDR  а сумма 4 280 874 по масштабу похожа на рупии</t>
        </is>
      </c>
      <c r="G3" s="21" t="inlineStr">
        <is>
          <t>Исключено + на проверку</t>
        </is>
      </c>
      <c r="H3" s="19" t="inlineStr">
        <is>
          <t>Курса в данных нет; пересчитывать или менять валюту молча нельзя</t>
        </is>
      </c>
    </row>
    <row r="4">
      <c r="A4" s="19" t="n">
        <v>3</v>
      </c>
      <c r="B4" s="19" t="inlineStr">
        <is>
          <t>reservations</t>
        </is>
      </c>
      <c r="C4" s="19" t="inlineStr">
        <is>
          <t>R0072</t>
        </is>
      </c>
      <c r="D4" s="19" t="n">
        <v>73</v>
      </c>
      <c r="E4" s="19" t="inlineStr">
        <is>
          <t>Арифметика</t>
        </is>
      </c>
      <c r="F4" s="19" t="inlineStr">
        <is>
          <t>Статус confirmed  но refund 7 970 068 больше gross 7 070 068 ровно на 900 000 (похоже на опечатку в одной цифре: 7 970 068 вместо 7 070 068); платёж по брони 0. Скорее всего это отмена с полным возвратом</t>
        </is>
      </c>
      <c r="G4" s="21" t="inlineStr">
        <is>
          <t>Исключено + на проверку</t>
        </is>
      </c>
      <c r="H4" s="19" t="inlineStr">
        <is>
          <t>Неясно, была ли выручка; net получился бы отрицательным (−900 000)</t>
        </is>
      </c>
    </row>
    <row r="5">
      <c r="A5" s="19" t="n">
        <v>4</v>
      </c>
      <c r="B5" s="19" t="inlineStr">
        <is>
          <t>reservations</t>
        </is>
      </c>
      <c r="C5" s="19" t="inlineStr">
        <is>
          <t>R0015</t>
        </is>
      </c>
      <c r="D5" s="19" t="n">
        <v>152</v>
      </c>
      <c r="E5" s="19" t="inlineStr">
        <is>
          <t>Дубль</t>
        </is>
      </c>
      <c r="F5" s="19" t="inlineStr">
        <is>
          <t>Строка полностью повторяет строку 16</t>
        </is>
      </c>
      <c r="G5" s="21" t="inlineStr">
        <is>
          <t>Исключено</t>
        </is>
      </c>
      <c r="H5" s="19" t="inlineStr">
        <is>
          <t>Вторая копия не считается, иначе gross завышен на 13 628 994</t>
        </is>
      </c>
    </row>
    <row r="6">
      <c r="A6" s="19" t="n">
        <v>5</v>
      </c>
      <c r="B6" s="19" t="inlineStr">
        <is>
          <t>reservations</t>
        </is>
      </c>
      <c r="C6" s="19" t="inlineStr">
        <is>
          <t>R0102</t>
        </is>
      </c>
      <c r="D6" s="19" t="n">
        <v>103</v>
      </c>
      <c r="E6" s="19" t="inlineStr">
        <is>
          <t>Арифметика</t>
        </is>
      </c>
      <c r="F6" s="19" t="inlineStr">
        <is>
          <t>Отрицательная ota_fee -100 000; поступление больше gross</t>
        </is>
      </c>
      <c r="G6" s="22" t="inlineStr">
        <is>
          <t>На проверке (в расчёте как есть)</t>
        </is>
      </c>
      <c r="H6" s="19" t="inlineStr">
        <is>
          <t>Влияние на OTA fees: −100 000 IDR</t>
        </is>
      </c>
    </row>
    <row r="7">
      <c r="A7" s="19" t="n">
        <v>6</v>
      </c>
      <c r="B7" s="19" t="inlineStr">
        <is>
          <t>reservations</t>
        </is>
      </c>
      <c r="C7" s="19" t="inlineStr">
        <is>
          <t>R0001</t>
        </is>
      </c>
      <c r="D7" s="19" t="n">
        <v>2</v>
      </c>
      <c r="E7" s="19" t="inlineStr">
        <is>
          <t>Пересечение периодов</t>
        </is>
      </c>
      <c r="F7" s="19" t="inlineStr">
        <is>
          <t>V013 2026-09-22–2026-09-25 пересекается с: R0090, R0119.</t>
        </is>
      </c>
      <c r="G7" s="22" t="inlineStr">
        <is>
          <t>На проверке (в расчёте)</t>
        </is>
      </c>
      <c r="H7" s="19" t="inlineStr">
        <is>
          <t>Вилла не может быть занята дважды; переключатель на Dashboard показывает итог без этих броней</t>
        </is>
      </c>
    </row>
    <row r="8">
      <c r="A8" s="19" t="n">
        <v>7</v>
      </c>
      <c r="B8" s="19" t="inlineStr">
        <is>
          <t>reservations</t>
        </is>
      </c>
      <c r="C8" s="19" t="inlineStr">
        <is>
          <t>R0002</t>
        </is>
      </c>
      <c r="D8" s="19" t="n">
        <v>3</v>
      </c>
      <c r="E8" s="19" t="inlineStr">
        <is>
          <t>Пересечение периодов</t>
        </is>
      </c>
      <c r="F8" s="19" t="inlineStr">
        <is>
          <t>V019 2026-10-15–2026-10-19 пересекается с: R0037.</t>
        </is>
      </c>
      <c r="G8" s="22" t="inlineStr">
        <is>
          <t>На проверке (в расчёте)</t>
        </is>
      </c>
      <c r="H8" s="19" t="inlineStr">
        <is>
          <t>Вилла не может быть занята дважды; переключатель на Dashboard показывает итог без этих броней</t>
        </is>
      </c>
    </row>
    <row r="9">
      <c r="A9" s="19" t="n">
        <v>8</v>
      </c>
      <c r="B9" s="19" t="inlineStr">
        <is>
          <t>reservations</t>
        </is>
      </c>
      <c r="C9" s="19" t="inlineStr">
        <is>
          <t>R0005</t>
        </is>
      </c>
      <c r="D9" s="19" t="n">
        <v>6</v>
      </c>
      <c r="E9" s="19" t="inlineStr">
        <is>
          <t>Пересечение периодов</t>
        </is>
      </c>
      <c r="F9" s="19" t="inlineStr">
        <is>
          <t>V005 2026-09-10–2026-09-17 пересекается с: R0098.</t>
        </is>
      </c>
      <c r="G9" s="22" t="inlineStr">
        <is>
          <t>На проверке (в расчёте)</t>
        </is>
      </c>
      <c r="H9" s="19" t="inlineStr">
        <is>
          <t>Вилла не может быть занята дважды; переключатель на Dashboard показывает итог без этих броней</t>
        </is>
      </c>
    </row>
    <row r="10">
      <c r="A10" s="19" t="n">
        <v>9</v>
      </c>
      <c r="B10" s="19" t="inlineStr">
        <is>
          <t>reservations</t>
        </is>
      </c>
      <c r="C10" s="19" t="inlineStr">
        <is>
          <t>R0007</t>
        </is>
      </c>
      <c r="D10" s="19" t="n">
        <v>8</v>
      </c>
      <c r="E10" s="19" t="inlineStr">
        <is>
          <t>Пересечение периодов</t>
        </is>
      </c>
      <c r="F10" s="19" t="inlineStr">
        <is>
          <t>V002 2026-09-08–2026-09-16 пересекается с: R0059.</t>
        </is>
      </c>
      <c r="G10" s="22" t="inlineStr">
        <is>
          <t>На проверке (в расчёте)</t>
        </is>
      </c>
      <c r="H10" s="19" t="inlineStr">
        <is>
          <t>Вилла не может быть занята дважды; переключатель на Dashboard показывает итог без этих броней</t>
        </is>
      </c>
    </row>
    <row r="11">
      <c r="A11" s="19" t="n">
        <v>10</v>
      </c>
      <c r="B11" s="19" t="inlineStr">
        <is>
          <t>reservations</t>
        </is>
      </c>
      <c r="C11" s="19" t="inlineStr">
        <is>
          <t>R0008</t>
        </is>
      </c>
      <c r="D11" s="19" t="n">
        <v>9</v>
      </c>
      <c r="E11" s="19" t="inlineStr">
        <is>
          <t>Пересечение периодов</t>
        </is>
      </c>
      <c r="F11" s="19" t="inlineStr">
        <is>
          <t>V014 2026-10-26–2026-10-30 пересекается с: R0050.</t>
        </is>
      </c>
      <c r="G11" s="22" t="inlineStr">
        <is>
          <t>На проверке (в расчёте)</t>
        </is>
      </c>
      <c r="H11" s="19" t="inlineStr">
        <is>
          <t>Вилла не может быть занята дважды; переключатель на Dashboard показывает итог без этих броней</t>
        </is>
      </c>
    </row>
    <row r="12">
      <c r="A12" s="19" t="n">
        <v>11</v>
      </c>
      <c r="B12" s="19" t="inlineStr">
        <is>
          <t>reservations</t>
        </is>
      </c>
      <c r="C12" s="19" t="inlineStr">
        <is>
          <t>R0010</t>
        </is>
      </c>
      <c r="D12" s="19" t="n">
        <v>11</v>
      </c>
      <c r="E12" s="19" t="inlineStr">
        <is>
          <t>Пересечение периодов</t>
        </is>
      </c>
      <c r="F12" s="19" t="inlineStr">
        <is>
          <t>V005 2026-10-06–2026-10-13 пересекается с: R0088, R0117.</t>
        </is>
      </c>
      <c r="G12" s="22" t="inlineStr">
        <is>
          <t>На проверке (в расчёте)</t>
        </is>
      </c>
      <c r="H12" s="19" t="inlineStr">
        <is>
          <t>Вилла не может быть занята дважды; переключатель на Dashboard показывает итог без этих броней</t>
        </is>
      </c>
    </row>
    <row r="13">
      <c r="A13" s="19" t="n">
        <v>12</v>
      </c>
      <c r="B13" s="19" t="inlineStr">
        <is>
          <t>reservations</t>
        </is>
      </c>
      <c r="C13" s="19" t="inlineStr">
        <is>
          <t>R0011</t>
        </is>
      </c>
      <c r="D13" s="19" t="n">
        <v>12</v>
      </c>
      <c r="E13" s="19" t="inlineStr">
        <is>
          <t>Пересечение периодов</t>
        </is>
      </c>
      <c r="F13" s="19" t="inlineStr">
        <is>
          <t>V004 2026-09-10–2026-09-17 пересекается с: R0024.</t>
        </is>
      </c>
      <c r="G13" s="22" t="inlineStr">
        <is>
          <t>На проверке (в расчёте)</t>
        </is>
      </c>
      <c r="H13" s="19" t="inlineStr">
        <is>
          <t>Вилла не может быть занята дважды; переключатель на Dashboard показывает итог без этих броней</t>
        </is>
      </c>
    </row>
    <row r="14">
      <c r="A14" s="19" t="n">
        <v>13</v>
      </c>
      <c r="B14" s="19" t="inlineStr">
        <is>
          <t>reservations</t>
        </is>
      </c>
      <c r="C14" s="19" t="inlineStr">
        <is>
          <t>R0012</t>
        </is>
      </c>
      <c r="D14" s="19" t="n">
        <v>13</v>
      </c>
      <c r="E14" s="19" t="inlineStr">
        <is>
          <t>Пересечение периодов</t>
        </is>
      </c>
      <c r="F14" s="19" t="inlineStr">
        <is>
          <t>V009 2026-09-21–2026-09-24 пересекается с: R0070.</t>
        </is>
      </c>
      <c r="G14" s="22" t="inlineStr">
        <is>
          <t>На проверке (в расчёте)</t>
        </is>
      </c>
      <c r="H14" s="19" t="inlineStr">
        <is>
          <t>Вилла не может быть занята дважды; переключатель на Dashboard показывает итог без этих броней</t>
        </is>
      </c>
    </row>
    <row r="15">
      <c r="A15" s="19" t="n">
        <v>14</v>
      </c>
      <c r="B15" s="19" t="inlineStr">
        <is>
          <t>reservations</t>
        </is>
      </c>
      <c r="C15" s="19" t="inlineStr">
        <is>
          <t>R0013</t>
        </is>
      </c>
      <c r="D15" s="19" t="n">
        <v>14</v>
      </c>
      <c r="E15" s="19" t="inlineStr">
        <is>
          <t>Пересечение периодов</t>
        </is>
      </c>
      <c r="F15" s="19" t="inlineStr">
        <is>
          <t>V020 2026-10-07–2026-10-10 пересекается с: R0043, R0113.</t>
        </is>
      </c>
      <c r="G15" s="22" t="inlineStr">
        <is>
          <t>На проверке (в расчёте)</t>
        </is>
      </c>
      <c r="H15" s="19" t="inlineStr">
        <is>
          <t>Вилла не может быть занята дважды; переключатель на Dashboard показывает итог без этих броней</t>
        </is>
      </c>
    </row>
    <row r="16">
      <c r="A16" s="19" t="n">
        <v>15</v>
      </c>
      <c r="B16" s="19" t="inlineStr">
        <is>
          <t>reservations</t>
        </is>
      </c>
      <c r="C16" s="19" t="inlineStr">
        <is>
          <t>R0017</t>
        </is>
      </c>
      <c r="D16" s="19" t="n">
        <v>18</v>
      </c>
      <c r="E16" s="19" t="inlineStr">
        <is>
          <t>Пересечение периодов</t>
        </is>
      </c>
      <c r="F16" s="19" t="inlineStr">
        <is>
          <t>V003 2026-09-09–2026-09-11 пересекается с: R0096, R0102.</t>
        </is>
      </c>
      <c r="G16" s="22" t="inlineStr">
        <is>
          <t>На проверке (в расчёте)</t>
        </is>
      </c>
      <c r="H16" s="19" t="inlineStr">
        <is>
          <t>Вилла не может быть занята дважды; переключатель на Dashboard показывает итог без этих броней</t>
        </is>
      </c>
    </row>
    <row r="17">
      <c r="A17" s="19" t="n">
        <v>16</v>
      </c>
      <c r="B17" s="19" t="inlineStr">
        <is>
          <t>reservations</t>
        </is>
      </c>
      <c r="C17" s="19" t="inlineStr">
        <is>
          <t>R0018</t>
        </is>
      </c>
      <c r="D17" s="19" t="n">
        <v>19</v>
      </c>
      <c r="E17" s="19" t="inlineStr">
        <is>
          <t>Пересечение периодов</t>
        </is>
      </c>
      <c r="F17" s="19" t="inlineStr">
        <is>
          <t>V013 2026-09-28–2026-10-04 пересекается с: R0071.</t>
        </is>
      </c>
      <c r="G17" s="22" t="inlineStr">
        <is>
          <t>На проверке (в расчёте)</t>
        </is>
      </c>
      <c r="H17" s="19" t="inlineStr">
        <is>
          <t>Вилла не может быть занята дважды; переключатель на Dashboard показывает итог без этих броней</t>
        </is>
      </c>
    </row>
    <row r="18">
      <c r="A18" s="19" t="n">
        <v>17</v>
      </c>
      <c r="B18" s="19" t="inlineStr">
        <is>
          <t>reservations</t>
        </is>
      </c>
      <c r="C18" s="19" t="inlineStr">
        <is>
          <t>R0019</t>
        </is>
      </c>
      <c r="D18" s="19" t="n">
        <v>20</v>
      </c>
      <c r="E18" s="19" t="inlineStr">
        <is>
          <t>Пересечение периодов</t>
        </is>
      </c>
      <c r="F18" s="19" t="inlineStr">
        <is>
          <t>V018 2026-09-02–2026-09-04 пересекается с: R0049.</t>
        </is>
      </c>
      <c r="G18" s="22" t="inlineStr">
        <is>
          <t>На проверке (в расчёте)</t>
        </is>
      </c>
      <c r="H18" s="19" t="inlineStr">
        <is>
          <t>Вилла не может быть занята дважды; переключатель на Dashboard показывает итог без этих броней</t>
        </is>
      </c>
    </row>
    <row r="19">
      <c r="A19" s="19" t="n">
        <v>18</v>
      </c>
      <c r="B19" s="19" t="inlineStr">
        <is>
          <t>reservations</t>
        </is>
      </c>
      <c r="C19" s="19" t="inlineStr">
        <is>
          <t>R0021</t>
        </is>
      </c>
      <c r="D19" s="19" t="n">
        <v>22</v>
      </c>
      <c r="E19" s="19" t="inlineStr">
        <is>
          <t>Пересечение периодов</t>
        </is>
      </c>
      <c r="F19" s="19" t="inlineStr">
        <is>
          <t>V002 2026-10-17–2026-10-25 пересекается с: R0048.</t>
        </is>
      </c>
      <c r="G19" s="22" t="inlineStr">
        <is>
          <t>На проверке (в расчёте)</t>
        </is>
      </c>
      <c r="H19" s="19" t="inlineStr">
        <is>
          <t>Вилла не может быть занята дважды; переключатель на Dashboard показывает итог без этих броней</t>
        </is>
      </c>
    </row>
    <row r="20">
      <c r="A20" s="19" t="n">
        <v>19</v>
      </c>
      <c r="B20" s="19" t="inlineStr">
        <is>
          <t>reservations</t>
        </is>
      </c>
      <c r="C20" s="19" t="inlineStr">
        <is>
          <t>R0023</t>
        </is>
      </c>
      <c r="D20" s="19" t="n">
        <v>24</v>
      </c>
      <c r="E20" s="19" t="inlineStr">
        <is>
          <t>Пересечение периодов</t>
        </is>
      </c>
      <c r="F20" s="19" t="inlineStr">
        <is>
          <t>V003 2026-10-09–2026-10-15 пересекается с: R0026, R0085.</t>
        </is>
      </c>
      <c r="G20" s="22" t="inlineStr">
        <is>
          <t>На проверке (в расчёте)</t>
        </is>
      </c>
      <c r="H20" s="19" t="inlineStr">
        <is>
          <t>Вилла не может быть занята дважды; переключатель на Dashboard показывает итог без этих броней</t>
        </is>
      </c>
    </row>
    <row r="21">
      <c r="A21" s="19" t="n">
        <v>20</v>
      </c>
      <c r="B21" s="19" t="inlineStr">
        <is>
          <t>reservations</t>
        </is>
      </c>
      <c r="C21" s="19" t="inlineStr">
        <is>
          <t>R0024</t>
        </is>
      </c>
      <c r="D21" s="19" t="n">
        <v>25</v>
      </c>
      <c r="E21" s="19" t="inlineStr">
        <is>
          <t>Пересечение периодов</t>
        </is>
      </c>
      <c r="F21" s="19" t="inlineStr">
        <is>
          <t>V004 2026-09-16–2026-09-19 пересекается с: R0011.</t>
        </is>
      </c>
      <c r="G21" s="22" t="inlineStr">
        <is>
          <t>На проверке (в расчёте)</t>
        </is>
      </c>
      <c r="H21" s="19" t="inlineStr">
        <is>
          <t>Вилла не может быть занята дважды; переключатель на Dashboard показывает итог без этих броней</t>
        </is>
      </c>
    </row>
    <row r="22">
      <c r="A22" s="19" t="n">
        <v>21</v>
      </c>
      <c r="B22" s="19" t="inlineStr">
        <is>
          <t>reservations</t>
        </is>
      </c>
      <c r="C22" s="19" t="inlineStr">
        <is>
          <t>R0025</t>
        </is>
      </c>
      <c r="D22" s="19" t="n">
        <v>26</v>
      </c>
      <c r="E22" s="19" t="inlineStr">
        <is>
          <t>Пересечение периодов</t>
        </is>
      </c>
      <c r="F22" s="19" t="inlineStr">
        <is>
          <t>V015 2026-10-14–2026-10-21 пересекается с: R0063.</t>
        </is>
      </c>
      <c r="G22" s="22" t="inlineStr">
        <is>
          <t>На проверке (в расчёте)</t>
        </is>
      </c>
      <c r="H22" s="19" t="inlineStr">
        <is>
          <t>Вилла не может быть занята дважды; переключатель на Dashboard показывает итог без этих броней</t>
        </is>
      </c>
    </row>
    <row r="23">
      <c r="A23" s="19" t="n">
        <v>22</v>
      </c>
      <c r="B23" s="19" t="inlineStr">
        <is>
          <t>reservations</t>
        </is>
      </c>
      <c r="C23" s="19" t="inlineStr">
        <is>
          <t>R0026</t>
        </is>
      </c>
      <c r="D23" s="19" t="n">
        <v>27</v>
      </c>
      <c r="E23" s="19" t="inlineStr">
        <is>
          <t>Пересечение периодов</t>
        </is>
      </c>
      <c r="F23" s="19" t="inlineStr">
        <is>
          <t>V003 2026-10-13–2026-10-17 пересекается с: R0023.</t>
        </is>
      </c>
      <c r="G23" s="22" t="inlineStr">
        <is>
          <t>На проверке (в расчёте)</t>
        </is>
      </c>
      <c r="H23" s="19" t="inlineStr">
        <is>
          <t>Вилла не может быть занята дважды; переключатель на Dashboard показывает итог без этих броней</t>
        </is>
      </c>
    </row>
    <row r="24">
      <c r="A24" s="19" t="n">
        <v>23</v>
      </c>
      <c r="B24" s="19" t="inlineStr">
        <is>
          <t>reservations</t>
        </is>
      </c>
      <c r="C24" s="19" t="inlineStr">
        <is>
          <t>R0027</t>
        </is>
      </c>
      <c r="D24" s="19" t="n">
        <v>28</v>
      </c>
      <c r="E24" s="19" t="inlineStr">
        <is>
          <t>Пересечение периодов</t>
        </is>
      </c>
      <c r="F24" s="19" t="inlineStr">
        <is>
          <t>V008 2026-09-18–2026-09-23 пересекается с: R0112, R0146.</t>
        </is>
      </c>
      <c r="G24" s="22" t="inlineStr">
        <is>
          <t>На проверке (в расчёте)</t>
        </is>
      </c>
      <c r="H24" s="19" t="inlineStr">
        <is>
          <t>Вилла не может быть занята дважды; переключатель на Dashboard показывает итог без этих броней</t>
        </is>
      </c>
    </row>
    <row r="25">
      <c r="A25" s="19" t="n">
        <v>24</v>
      </c>
      <c r="B25" s="19" t="inlineStr">
        <is>
          <t>reservations</t>
        </is>
      </c>
      <c r="C25" s="19" t="inlineStr">
        <is>
          <t>R0028</t>
        </is>
      </c>
      <c r="D25" s="19" t="n">
        <v>29</v>
      </c>
      <c r="E25" s="19" t="inlineStr">
        <is>
          <t>Пересечение периодов</t>
        </is>
      </c>
      <c r="F25" s="19" t="inlineStr">
        <is>
          <t>V020 2026-09-25–2026-10-03 пересекается с: R0116.</t>
        </is>
      </c>
      <c r="G25" s="22" t="inlineStr">
        <is>
          <t>На проверке (в расчёте)</t>
        </is>
      </c>
      <c r="H25" s="19" t="inlineStr">
        <is>
          <t>Вилла не может быть занята дважды; переключатель на Dashboard показывает итог без этих броней</t>
        </is>
      </c>
    </row>
    <row r="26">
      <c r="A26" s="19" t="n">
        <v>25</v>
      </c>
      <c r="B26" s="19" t="inlineStr">
        <is>
          <t>reservations</t>
        </is>
      </c>
      <c r="C26" s="19" t="inlineStr">
        <is>
          <t>R0029</t>
        </is>
      </c>
      <c r="D26" s="19" t="n">
        <v>30</v>
      </c>
      <c r="E26" s="19" t="inlineStr">
        <is>
          <t>Пересечение периодов</t>
        </is>
      </c>
      <c r="F26" s="19" t="inlineStr">
        <is>
          <t>V003 2026-09-14–2026-09-20 пересекается с: R0101, R0103, R0128.</t>
        </is>
      </c>
      <c r="G26" s="22" t="inlineStr">
        <is>
          <t>На проверке (в расчёте)</t>
        </is>
      </c>
      <c r="H26" s="19" t="inlineStr">
        <is>
          <t>Вилла не может быть занята дважды; переключатель на Dashboard показывает итог без этих броней</t>
        </is>
      </c>
    </row>
    <row r="27">
      <c r="A27" s="19" t="n">
        <v>26</v>
      </c>
      <c r="B27" s="19" t="inlineStr">
        <is>
          <t>reservations</t>
        </is>
      </c>
      <c r="C27" s="19" t="inlineStr">
        <is>
          <t>R0030</t>
        </is>
      </c>
      <c r="D27" s="19" t="n">
        <v>31</v>
      </c>
      <c r="E27" s="19" t="inlineStr">
        <is>
          <t>Пересечение периодов</t>
        </is>
      </c>
      <c r="F27" s="19" t="inlineStr">
        <is>
          <t>V001 2026-09-15–2026-09-18 пересекается с: R0069.</t>
        </is>
      </c>
      <c r="G27" s="22" t="inlineStr">
        <is>
          <t>На проверке (в расчёте)</t>
        </is>
      </c>
      <c r="H27" s="19" t="inlineStr">
        <is>
          <t>Вилла не может быть занята дважды; переключатель на Dashboard показывает итог без этих броней</t>
        </is>
      </c>
    </row>
    <row r="28">
      <c r="A28" s="19" t="n">
        <v>27</v>
      </c>
      <c r="B28" s="19" t="inlineStr">
        <is>
          <t>reservations</t>
        </is>
      </c>
      <c r="C28" s="19" t="inlineStr">
        <is>
          <t>R0031</t>
        </is>
      </c>
      <c r="D28" s="19" t="n">
        <v>32</v>
      </c>
      <c r="E28" s="19" t="inlineStr">
        <is>
          <t>Пересечение периодов</t>
        </is>
      </c>
      <c r="F28" s="19" t="inlineStr">
        <is>
          <t>V008 2026-09-05–2026-09-08 пересекается с: R0080.</t>
        </is>
      </c>
      <c r="G28" s="22" t="inlineStr">
        <is>
          <t>На проверке (в расчёте)</t>
        </is>
      </c>
      <c r="H28" s="19" t="inlineStr">
        <is>
          <t>Вилла не может быть занята дважды; переключатель на Dashboard показывает итог без этих броней</t>
        </is>
      </c>
    </row>
    <row r="29">
      <c r="A29" s="19" t="n">
        <v>28</v>
      </c>
      <c r="B29" s="19" t="inlineStr">
        <is>
          <t>reservations</t>
        </is>
      </c>
      <c r="C29" s="19" t="inlineStr">
        <is>
          <t>R0033</t>
        </is>
      </c>
      <c r="D29" s="19" t="n">
        <v>34</v>
      </c>
      <c r="E29" s="19" t="inlineStr">
        <is>
          <t>Пересечение периодов</t>
        </is>
      </c>
      <c r="F29" s="19" t="inlineStr">
        <is>
          <t>V008 2026-09-25–2026-10-02 пересекается с: R0056.</t>
        </is>
      </c>
      <c r="G29" s="22" t="inlineStr">
        <is>
          <t>На проверке (в расчёте)</t>
        </is>
      </c>
      <c r="H29" s="19" t="inlineStr">
        <is>
          <t>Вилла не может быть занята дважды; переключатель на Dashboard показывает итог без этих броней</t>
        </is>
      </c>
    </row>
    <row r="30">
      <c r="A30" s="19" t="n">
        <v>29</v>
      </c>
      <c r="B30" s="19" t="inlineStr">
        <is>
          <t>reservations</t>
        </is>
      </c>
      <c r="C30" s="19" t="inlineStr">
        <is>
          <t>R0037</t>
        </is>
      </c>
      <c r="D30" s="19" t="n">
        <v>38</v>
      </c>
      <c r="E30" s="19" t="inlineStr">
        <is>
          <t>Пересечение периодов</t>
        </is>
      </c>
      <c r="F30" s="19" t="inlineStr">
        <is>
          <t>V019 2026-10-16–2026-10-19 пересекается с: R0002.</t>
        </is>
      </c>
      <c r="G30" s="22" t="inlineStr">
        <is>
          <t>На проверке (в расчёте)</t>
        </is>
      </c>
      <c r="H30" s="19" t="inlineStr">
        <is>
          <t>Вилла не может быть занята дважды; переключатель на Dashboard показывает итог без этих броней</t>
        </is>
      </c>
    </row>
    <row r="31">
      <c r="A31" s="19" t="n">
        <v>30</v>
      </c>
      <c r="B31" s="19" t="inlineStr">
        <is>
          <t>reservations</t>
        </is>
      </c>
      <c r="C31" s="19" t="inlineStr">
        <is>
          <t>R0038</t>
        </is>
      </c>
      <c r="D31" s="19" t="n">
        <v>39</v>
      </c>
      <c r="E31" s="19" t="inlineStr">
        <is>
          <t>Пересечение периодов</t>
        </is>
      </c>
      <c r="F31" s="19" t="inlineStr">
        <is>
          <t>V017 2026-10-04–2026-10-11 пересекается с: R0045, R0148.</t>
        </is>
      </c>
      <c r="G31" s="22" t="inlineStr">
        <is>
          <t>На проверке (в расчёте)</t>
        </is>
      </c>
      <c r="H31" s="19" t="inlineStr">
        <is>
          <t>Вилла не может быть занята дважды; переключатель на Dashboard показывает итог без этих броней</t>
        </is>
      </c>
    </row>
    <row r="32">
      <c r="A32" s="19" t="n">
        <v>31</v>
      </c>
      <c r="B32" s="19" t="inlineStr">
        <is>
          <t>reservations</t>
        </is>
      </c>
      <c r="C32" s="19" t="inlineStr">
        <is>
          <t>R0039</t>
        </is>
      </c>
      <c r="D32" s="19" t="n">
        <v>40</v>
      </c>
      <c r="E32" s="19" t="inlineStr">
        <is>
          <t>Пересечение периодов</t>
        </is>
      </c>
      <c r="F32" s="19" t="inlineStr">
        <is>
          <t>V003 2026-09-03–2026-09-09 пересекается с: R0096.</t>
        </is>
      </c>
      <c r="G32" s="22" t="inlineStr">
        <is>
          <t>На проверке (в расчёте)</t>
        </is>
      </c>
      <c r="H32" s="19" t="inlineStr">
        <is>
          <t>Вилла не может быть занята дважды; переключатель на Dashboard показывает итог без этих броней</t>
        </is>
      </c>
    </row>
    <row r="33">
      <c r="A33" s="19" t="n">
        <v>32</v>
      </c>
      <c r="B33" s="19" t="inlineStr">
        <is>
          <t>reservations</t>
        </is>
      </c>
      <c r="C33" s="19" t="inlineStr">
        <is>
          <t>R0040</t>
        </is>
      </c>
      <c r="D33" s="19" t="n">
        <v>41</v>
      </c>
      <c r="E33" s="19" t="inlineStr">
        <is>
          <t>Пересечение периодов</t>
        </is>
      </c>
      <c r="F33" s="19" t="inlineStr">
        <is>
          <t>V012 2026-09-14–2026-09-21 пересекается с: R0065.</t>
        </is>
      </c>
      <c r="G33" s="22" t="inlineStr">
        <is>
          <t>На проверке (в расчёте)</t>
        </is>
      </c>
      <c r="H33" s="19" t="inlineStr">
        <is>
          <t>Вилла не может быть занята дважды; переключатель на Dashboard показывает итог без этих броней</t>
        </is>
      </c>
    </row>
    <row r="34">
      <c r="A34" s="19" t="n">
        <v>33</v>
      </c>
      <c r="B34" s="19" t="inlineStr">
        <is>
          <t>reservations</t>
        </is>
      </c>
      <c r="C34" s="19" t="inlineStr">
        <is>
          <t>R0041</t>
        </is>
      </c>
      <c r="D34" s="19" t="n">
        <v>42</v>
      </c>
      <c r="E34" s="19" t="inlineStr">
        <is>
          <t>Пересечение периодов</t>
        </is>
      </c>
      <c r="F34" s="19" t="inlineStr">
        <is>
          <t>V010 2026-09-10–2026-09-14 пересекается с: R0077, R0121.</t>
        </is>
      </c>
      <c r="G34" s="22" t="inlineStr">
        <is>
          <t>На проверке (в расчёте)</t>
        </is>
      </c>
      <c r="H34" s="19" t="inlineStr">
        <is>
          <t>Вилла не может быть занята дважды; переключатель на Dashboard показывает итог без этих броней</t>
        </is>
      </c>
    </row>
    <row r="35">
      <c r="A35" s="19" t="n">
        <v>34</v>
      </c>
      <c r="B35" s="19" t="inlineStr">
        <is>
          <t>reservations</t>
        </is>
      </c>
      <c r="C35" s="19" t="inlineStr">
        <is>
          <t>R0042</t>
        </is>
      </c>
      <c r="D35" s="19" t="n">
        <v>43</v>
      </c>
      <c r="E35" s="19" t="inlineStr">
        <is>
          <t>Пересечение периодов</t>
        </is>
      </c>
      <c r="F35" s="19" t="inlineStr">
        <is>
          <t>V008 2026-10-24–2026-10-26 пересекается с: R0127.</t>
        </is>
      </c>
      <c r="G35" s="22" t="inlineStr">
        <is>
          <t>На проверке (в расчёте)</t>
        </is>
      </c>
      <c r="H35" s="19" t="inlineStr">
        <is>
          <t>Вилла не может быть занята дважды; переключатель на Dashboard показывает итог без этих броней</t>
        </is>
      </c>
    </row>
    <row r="36">
      <c r="A36" s="19" t="n">
        <v>35</v>
      </c>
      <c r="B36" s="19" t="inlineStr">
        <is>
          <t>reservations</t>
        </is>
      </c>
      <c r="C36" s="19" t="inlineStr">
        <is>
          <t>R0043</t>
        </is>
      </c>
      <c r="D36" s="19" t="n">
        <v>44</v>
      </c>
      <c r="E36" s="19" t="inlineStr">
        <is>
          <t>Пересечение периодов</t>
        </is>
      </c>
      <c r="F36" s="19" t="inlineStr">
        <is>
          <t>V020 2026-10-08–2026-10-13 пересекается с: R0013, R0113, R0122.</t>
        </is>
      </c>
      <c r="G36" s="22" t="inlineStr">
        <is>
          <t>На проверке (в расчёте)</t>
        </is>
      </c>
      <c r="H36" s="19" t="inlineStr">
        <is>
          <t>Вилла не может быть занята дважды; переключатель на Dashboard показывает итог без этих броней</t>
        </is>
      </c>
    </row>
    <row r="37">
      <c r="A37" s="19" t="n">
        <v>36</v>
      </c>
      <c r="B37" s="19" t="inlineStr">
        <is>
          <t>reservations</t>
        </is>
      </c>
      <c r="C37" s="19" t="inlineStr">
        <is>
          <t>R0045</t>
        </is>
      </c>
      <c r="D37" s="19" t="n">
        <v>46</v>
      </c>
      <c r="E37" s="19" t="inlineStr">
        <is>
          <t>Пересечение периодов</t>
        </is>
      </c>
      <c r="F37" s="19" t="inlineStr">
        <is>
          <t>V017 2026-10-01–2026-10-07 пересекается с: R0038, R0115, R0148.</t>
        </is>
      </c>
      <c r="G37" s="22" t="inlineStr">
        <is>
          <t>На проверке (в расчёте)</t>
        </is>
      </c>
      <c r="H37" s="19" t="inlineStr">
        <is>
          <t>Вилла не может быть занята дважды; переключатель на Dashboard показывает итог без этих броней</t>
        </is>
      </c>
    </row>
    <row r="38">
      <c r="A38" s="19" t="n">
        <v>37</v>
      </c>
      <c r="B38" s="19" t="inlineStr">
        <is>
          <t>reservations</t>
        </is>
      </c>
      <c r="C38" s="19" t="inlineStr">
        <is>
          <t>R0046</t>
        </is>
      </c>
      <c r="D38" s="19" t="n">
        <v>47</v>
      </c>
      <c r="E38" s="19" t="inlineStr">
        <is>
          <t>Пересечение периодов</t>
        </is>
      </c>
      <c r="F38" s="19" t="inlineStr">
        <is>
          <t>V016 2026-09-12–2026-09-17 пересекается с: R0060.</t>
        </is>
      </c>
      <c r="G38" s="22" t="inlineStr">
        <is>
          <t>На проверке (в расчёте)</t>
        </is>
      </c>
      <c r="H38" s="19" t="inlineStr">
        <is>
          <t>Вилла не может быть занята дважды; переключатель на Dashboard показывает итог без этих броней</t>
        </is>
      </c>
    </row>
    <row r="39">
      <c r="A39" s="19" t="n">
        <v>38</v>
      </c>
      <c r="B39" s="19" t="inlineStr">
        <is>
          <t>reservations</t>
        </is>
      </c>
      <c r="C39" s="19" t="inlineStr">
        <is>
          <t>R0048</t>
        </is>
      </c>
      <c r="D39" s="19" t="n">
        <v>49</v>
      </c>
      <c r="E39" s="19" t="inlineStr">
        <is>
          <t>Пересечение периодов</t>
        </is>
      </c>
      <c r="F39" s="19" t="inlineStr">
        <is>
          <t>V002 2026-10-10–2026-10-18 пересекается с: R0021, R0129.</t>
        </is>
      </c>
      <c r="G39" s="22" t="inlineStr">
        <is>
          <t>На проверке (в расчёте)</t>
        </is>
      </c>
      <c r="H39" s="19" t="inlineStr">
        <is>
          <t>Вилла не может быть занята дважды; переключатель на Dashboard показывает итог без этих броней</t>
        </is>
      </c>
    </row>
    <row r="40">
      <c r="A40" s="19" t="n">
        <v>39</v>
      </c>
      <c r="B40" s="19" t="inlineStr">
        <is>
          <t>reservations</t>
        </is>
      </c>
      <c r="C40" s="19" t="inlineStr">
        <is>
          <t>R0049</t>
        </is>
      </c>
      <c r="D40" s="19" t="n">
        <v>50</v>
      </c>
      <c r="E40" s="19" t="inlineStr">
        <is>
          <t>Пересечение периодов</t>
        </is>
      </c>
      <c r="F40" s="19" t="inlineStr">
        <is>
          <t>V018 2026-09-02–2026-09-10 пересекается с: R0019.</t>
        </is>
      </c>
      <c r="G40" s="22" t="inlineStr">
        <is>
          <t>На проверке (в расчёте)</t>
        </is>
      </c>
      <c r="H40" s="19" t="inlineStr">
        <is>
          <t>Вилла не может быть занята дважды; переключатель на Dashboard показывает итог без этих броней</t>
        </is>
      </c>
    </row>
    <row r="41">
      <c r="A41" s="19" t="n">
        <v>40</v>
      </c>
      <c r="B41" s="19" t="inlineStr">
        <is>
          <t>reservations</t>
        </is>
      </c>
      <c r="C41" s="19" t="inlineStr">
        <is>
          <t>R0050</t>
        </is>
      </c>
      <c r="D41" s="19" t="n">
        <v>51</v>
      </c>
      <c r="E41" s="19" t="inlineStr">
        <is>
          <t>Пересечение периодов</t>
        </is>
      </c>
      <c r="F41" s="19" t="inlineStr">
        <is>
          <t>V014 2026-10-22–2026-10-27 пересекается с: R0008.</t>
        </is>
      </c>
      <c r="G41" s="22" t="inlineStr">
        <is>
          <t>На проверке (в расчёте)</t>
        </is>
      </c>
      <c r="H41" s="19" t="inlineStr">
        <is>
          <t>Вилла не может быть занята дважды; переключатель на Dashboard показывает итог без этих броней</t>
        </is>
      </c>
    </row>
    <row r="42">
      <c r="A42" s="19" t="n">
        <v>41</v>
      </c>
      <c r="B42" s="19" t="inlineStr">
        <is>
          <t>reservations</t>
        </is>
      </c>
      <c r="C42" s="19" t="inlineStr">
        <is>
          <t>R0051</t>
        </is>
      </c>
      <c r="D42" s="19" t="n">
        <v>52</v>
      </c>
      <c r="E42" s="19" t="inlineStr">
        <is>
          <t>Пересечение периодов</t>
        </is>
      </c>
      <c r="F42" s="19" t="inlineStr">
        <is>
          <t>V019 2026-09-12–2026-09-17 пересекается с: R0091.</t>
        </is>
      </c>
      <c r="G42" s="22" t="inlineStr">
        <is>
          <t>На проверке (в расчёте)</t>
        </is>
      </c>
      <c r="H42" s="19" t="inlineStr">
        <is>
          <t>Вилла не может быть занята дважды; переключатель на Dashboard показывает итог без этих броней</t>
        </is>
      </c>
    </row>
    <row r="43">
      <c r="A43" s="19" t="n">
        <v>42</v>
      </c>
      <c r="B43" s="19" t="inlineStr">
        <is>
          <t>reservations</t>
        </is>
      </c>
      <c r="C43" s="19" t="inlineStr">
        <is>
          <t>R0056</t>
        </is>
      </c>
      <c r="D43" s="19" t="n">
        <v>57</v>
      </c>
      <c r="E43" s="19" t="inlineStr">
        <is>
          <t>Пересечение периодов</t>
        </is>
      </c>
      <c r="F43" s="19" t="inlineStr">
        <is>
          <t>V008 2026-09-25–2026-10-02 пересекается с: R0033.</t>
        </is>
      </c>
      <c r="G43" s="22" t="inlineStr">
        <is>
          <t>На проверке (в расчёте)</t>
        </is>
      </c>
      <c r="H43" s="19" t="inlineStr">
        <is>
          <t>Вилла не может быть занята дважды; переключатель на Dashboard показывает итог без этих броней</t>
        </is>
      </c>
    </row>
    <row r="44">
      <c r="A44" s="19" t="n">
        <v>43</v>
      </c>
      <c r="B44" s="19" t="inlineStr">
        <is>
          <t>reservations</t>
        </is>
      </c>
      <c r="C44" s="19" t="inlineStr">
        <is>
          <t>R0059</t>
        </is>
      </c>
      <c r="D44" s="19" t="n">
        <v>60</v>
      </c>
      <c r="E44" s="19" t="inlineStr">
        <is>
          <t>Пересечение периодов</t>
        </is>
      </c>
      <c r="F44" s="19" t="inlineStr">
        <is>
          <t>V002 2026-09-13–2026-09-17 пересекается с: R0007.</t>
        </is>
      </c>
      <c r="G44" s="22" t="inlineStr">
        <is>
          <t>На проверке (в расчёте)</t>
        </is>
      </c>
      <c r="H44" s="19" t="inlineStr">
        <is>
          <t>Вилла не может быть занята дважды; переключатель на Dashboard показывает итог без этих броней</t>
        </is>
      </c>
    </row>
    <row r="45">
      <c r="A45" s="19" t="n">
        <v>44</v>
      </c>
      <c r="B45" s="19" t="inlineStr">
        <is>
          <t>reservations</t>
        </is>
      </c>
      <c r="C45" s="19" t="inlineStr">
        <is>
          <t>R0060</t>
        </is>
      </c>
      <c r="D45" s="19" t="n">
        <v>61</v>
      </c>
      <c r="E45" s="19" t="inlineStr">
        <is>
          <t>Пересечение периодов</t>
        </is>
      </c>
      <c r="F45" s="19" t="inlineStr">
        <is>
          <t>V016 2026-09-06–2026-09-14 пересекается с: R0046, R0099, R0124.</t>
        </is>
      </c>
      <c r="G45" s="22" t="inlineStr">
        <is>
          <t>На проверке (в расчёте)</t>
        </is>
      </c>
      <c r="H45" s="19" t="inlineStr">
        <is>
          <t>Вилла не может быть занята дважды; переключатель на Dashboard показывает итог без этих броней</t>
        </is>
      </c>
    </row>
    <row r="46">
      <c r="A46" s="19" t="n">
        <v>45</v>
      </c>
      <c r="B46" s="19" t="inlineStr">
        <is>
          <t>reservations</t>
        </is>
      </c>
      <c r="C46" s="19" t="inlineStr">
        <is>
          <t>R0063</t>
        </is>
      </c>
      <c r="D46" s="19" t="n">
        <v>64</v>
      </c>
      <c r="E46" s="19" t="inlineStr">
        <is>
          <t>Пересечение периодов</t>
        </is>
      </c>
      <c r="F46" s="19" t="inlineStr">
        <is>
          <t>V015 2026-10-19–2026-10-26 пересекается с: R0025.</t>
        </is>
      </c>
      <c r="G46" s="22" t="inlineStr">
        <is>
          <t>На проверке (в расчёте)</t>
        </is>
      </c>
      <c r="H46" s="19" t="inlineStr">
        <is>
          <t>Вилла не может быть занята дважды; переключатель на Dashboard показывает итог без этих броней</t>
        </is>
      </c>
    </row>
    <row r="47">
      <c r="A47" s="19" t="n">
        <v>46</v>
      </c>
      <c r="B47" s="19" t="inlineStr">
        <is>
          <t>reservations</t>
        </is>
      </c>
      <c r="C47" s="19" t="inlineStr">
        <is>
          <t>R0065</t>
        </is>
      </c>
      <c r="D47" s="19" t="n">
        <v>66</v>
      </c>
      <c r="E47" s="19" t="inlineStr">
        <is>
          <t>Пересечение периодов</t>
        </is>
      </c>
      <c r="F47" s="19" t="inlineStr">
        <is>
          <t>V012 2026-09-11–2026-09-19 пересекается с: R0040.</t>
        </is>
      </c>
      <c r="G47" s="22" t="inlineStr">
        <is>
          <t>На проверке (в расчёте)</t>
        </is>
      </c>
      <c r="H47" s="19" t="inlineStr">
        <is>
          <t>Вилла не может быть занята дважды; переключатель на Dashboard показывает итог без этих броней</t>
        </is>
      </c>
    </row>
    <row r="48">
      <c r="A48" s="19" t="n">
        <v>47</v>
      </c>
      <c r="B48" s="19" t="inlineStr">
        <is>
          <t>reservations</t>
        </is>
      </c>
      <c r="C48" s="19" t="inlineStr">
        <is>
          <t>R0069</t>
        </is>
      </c>
      <c r="D48" s="19" t="n">
        <v>70</v>
      </c>
      <c r="E48" s="19" t="inlineStr">
        <is>
          <t>Пересечение периодов</t>
        </is>
      </c>
      <c r="F48" s="19" t="inlineStr">
        <is>
          <t>V001 2026-09-10–2026-09-17 пересекается с: R0030, R0086.</t>
        </is>
      </c>
      <c r="G48" s="22" t="inlineStr">
        <is>
          <t>На проверке (в расчёте)</t>
        </is>
      </c>
      <c r="H48" s="19" t="inlineStr">
        <is>
          <t>Вилла не может быть занята дважды; переключатель на Dashboard показывает итог без этих броней</t>
        </is>
      </c>
    </row>
    <row r="49">
      <c r="A49" s="19" t="n">
        <v>48</v>
      </c>
      <c r="B49" s="19" t="inlineStr">
        <is>
          <t>reservations</t>
        </is>
      </c>
      <c r="C49" s="19" t="inlineStr">
        <is>
          <t>R0070</t>
        </is>
      </c>
      <c r="D49" s="19" t="n">
        <v>71</v>
      </c>
      <c r="E49" s="19" t="inlineStr">
        <is>
          <t>Пересечение периодов</t>
        </is>
      </c>
      <c r="F49" s="19" t="inlineStr">
        <is>
          <t>V009 2026-09-23–2026-09-26 пересекается с: R0012.</t>
        </is>
      </c>
      <c r="G49" s="22" t="inlineStr">
        <is>
          <t>На проверке (в расчёте)</t>
        </is>
      </c>
      <c r="H49" s="19" t="inlineStr">
        <is>
          <t>Вилла не может быть занята дважды; переключатель на Dashboard показывает итог без этих броней</t>
        </is>
      </c>
    </row>
    <row r="50">
      <c r="A50" s="19" t="n">
        <v>49</v>
      </c>
      <c r="B50" s="19" t="inlineStr">
        <is>
          <t>reservations</t>
        </is>
      </c>
      <c r="C50" s="19" t="inlineStr">
        <is>
          <t>R0071</t>
        </is>
      </c>
      <c r="D50" s="19" t="n">
        <v>72</v>
      </c>
      <c r="E50" s="19" t="inlineStr">
        <is>
          <t>Пересечение периодов</t>
        </is>
      </c>
      <c r="F50" s="19" t="inlineStr">
        <is>
          <t>V013 2026-10-01–2026-10-08 пересекается с: R0018.</t>
        </is>
      </c>
      <c r="G50" s="22" t="inlineStr">
        <is>
          <t>На проверке (в расчёте)</t>
        </is>
      </c>
      <c r="H50" s="19" t="inlineStr">
        <is>
          <t>Вилла не может быть занята дважды; переключатель на Dashboard показывает итог без этих броней</t>
        </is>
      </c>
    </row>
    <row r="51">
      <c r="A51" s="19" t="n">
        <v>50</v>
      </c>
      <c r="B51" s="19" t="inlineStr">
        <is>
          <t>reservations</t>
        </is>
      </c>
      <c r="C51" s="19" t="inlineStr">
        <is>
          <t>R0075</t>
        </is>
      </c>
      <c r="D51" s="19" t="n">
        <v>76</v>
      </c>
      <c r="E51" s="19" t="inlineStr">
        <is>
          <t>Пересечение периодов</t>
        </is>
      </c>
      <c r="F51" s="19" t="inlineStr">
        <is>
          <t>V010 2026-09-19–2026-09-23 пересекается с: R0120.</t>
        </is>
      </c>
      <c r="G51" s="22" t="inlineStr">
        <is>
          <t>На проверке (в расчёте)</t>
        </is>
      </c>
      <c r="H51" s="19" t="inlineStr">
        <is>
          <t>Вилла не может быть занята дважды; переключатель на Dashboard показывает итог без этих броней</t>
        </is>
      </c>
    </row>
    <row r="52">
      <c r="A52" s="19" t="n">
        <v>51</v>
      </c>
      <c r="B52" s="19" t="inlineStr">
        <is>
          <t>reservations</t>
        </is>
      </c>
      <c r="C52" s="19" t="inlineStr">
        <is>
          <t>R0076</t>
        </is>
      </c>
      <c r="D52" s="19" t="n">
        <v>77</v>
      </c>
      <c r="E52" s="19" t="inlineStr">
        <is>
          <t>Пересечение периодов</t>
        </is>
      </c>
      <c r="F52" s="19" t="inlineStr">
        <is>
          <t>V010 2026-09-06–2026-09-08 пересекается с: R0105.</t>
        </is>
      </c>
      <c r="G52" s="22" t="inlineStr">
        <is>
          <t>На проверке (в расчёте)</t>
        </is>
      </c>
      <c r="H52" s="19" t="inlineStr">
        <is>
          <t>Вилла не может быть занята дважды; переключатель на Dashboard показывает итог без этих броней</t>
        </is>
      </c>
    </row>
    <row r="53">
      <c r="A53" s="19" t="n">
        <v>52</v>
      </c>
      <c r="B53" s="19" t="inlineStr">
        <is>
          <t>reservations</t>
        </is>
      </c>
      <c r="C53" s="19" t="inlineStr">
        <is>
          <t>R0077</t>
        </is>
      </c>
      <c r="D53" s="19" t="n">
        <v>78</v>
      </c>
      <c r="E53" s="19" t="inlineStr">
        <is>
          <t>Пересечение периодов</t>
        </is>
      </c>
      <c r="F53" s="19" t="inlineStr">
        <is>
          <t>V010 2026-09-10–2026-09-15 пересекается с: R0041, R0121.</t>
        </is>
      </c>
      <c r="G53" s="22" t="inlineStr">
        <is>
          <t>На проверке (в расчёте)</t>
        </is>
      </c>
      <c r="H53" s="19" t="inlineStr">
        <is>
          <t>Вилла не может быть занята дважды; переключатель на Dashboard показывает итог без этих броней</t>
        </is>
      </c>
    </row>
    <row r="54">
      <c r="A54" s="19" t="n">
        <v>53</v>
      </c>
      <c r="B54" s="19" t="inlineStr">
        <is>
          <t>reservations</t>
        </is>
      </c>
      <c r="C54" s="19" t="inlineStr">
        <is>
          <t>R0080</t>
        </is>
      </c>
      <c r="D54" s="19" t="n">
        <v>81</v>
      </c>
      <c r="E54" s="19" t="inlineStr">
        <is>
          <t>Пересечение периодов</t>
        </is>
      </c>
      <c r="F54" s="19" t="inlineStr">
        <is>
          <t>V008 2026-09-03–2026-09-11 пересекается с: R0031.</t>
        </is>
      </c>
      <c r="G54" s="22" t="inlineStr">
        <is>
          <t>На проверке (в расчёте)</t>
        </is>
      </c>
      <c r="H54" s="19" t="inlineStr">
        <is>
          <t>Вилла не может быть занята дважды; переключатель на Dashboard показывает итог без этих броней</t>
        </is>
      </c>
    </row>
    <row r="55">
      <c r="A55" s="19" t="n">
        <v>54</v>
      </c>
      <c r="B55" s="19" t="inlineStr">
        <is>
          <t>reservations</t>
        </is>
      </c>
      <c r="C55" s="19" t="inlineStr">
        <is>
          <t>R0082</t>
        </is>
      </c>
      <c r="D55" s="19" t="n">
        <v>83</v>
      </c>
      <c r="E55" s="19" t="inlineStr">
        <is>
          <t>Пересечение периодов</t>
        </is>
      </c>
      <c r="F55" s="19" t="inlineStr">
        <is>
          <t>V016 2026-09-27–2026-10-04 пересекается с: R0094, R0106.</t>
        </is>
      </c>
      <c r="G55" s="22" t="inlineStr">
        <is>
          <t>На проверке (в расчёте)</t>
        </is>
      </c>
      <c r="H55" s="19" t="inlineStr">
        <is>
          <t>Вилла не может быть занята дважды; переключатель на Dashboard показывает итог без этих броней</t>
        </is>
      </c>
    </row>
    <row r="56">
      <c r="A56" s="19" t="n">
        <v>55</v>
      </c>
      <c r="B56" s="19" t="inlineStr">
        <is>
          <t>reservations</t>
        </is>
      </c>
      <c r="C56" s="19" t="inlineStr">
        <is>
          <t>R0085</t>
        </is>
      </c>
      <c r="D56" s="19" t="n">
        <v>86</v>
      </c>
      <c r="E56" s="19" t="inlineStr">
        <is>
          <t>Пересечение периодов</t>
        </is>
      </c>
      <c r="F56" s="19" t="inlineStr">
        <is>
          <t>V003 2026-10-06–2026-10-13 пересекается с: R0023.</t>
        </is>
      </c>
      <c r="G56" s="22" t="inlineStr">
        <is>
          <t>На проверке (в расчёте)</t>
        </is>
      </c>
      <c r="H56" s="19" t="inlineStr">
        <is>
          <t>Вилла не может быть занята дважды; переключатель на Dashboard показывает итог без этих броней</t>
        </is>
      </c>
    </row>
    <row r="57">
      <c r="A57" s="19" t="n">
        <v>56</v>
      </c>
      <c r="B57" s="19" t="inlineStr">
        <is>
          <t>reservations</t>
        </is>
      </c>
      <c r="C57" s="19" t="inlineStr">
        <is>
          <t>R0086</t>
        </is>
      </c>
      <c r="D57" s="19" t="n">
        <v>87</v>
      </c>
      <c r="E57" s="19" t="inlineStr">
        <is>
          <t>Пересечение периодов</t>
        </is>
      </c>
      <c r="F57" s="19" t="inlineStr">
        <is>
          <t>V001 2026-09-06–2026-09-13 пересекается с: R0069.</t>
        </is>
      </c>
      <c r="G57" s="22" t="inlineStr">
        <is>
          <t>На проверке (в расчёте)</t>
        </is>
      </c>
      <c r="H57" s="19" t="inlineStr">
        <is>
          <t>Вилла не может быть занята дважды; переключатель на Dashboard показывает итог без этих броней</t>
        </is>
      </c>
    </row>
    <row r="58">
      <c r="A58" s="19" t="n">
        <v>57</v>
      </c>
      <c r="B58" s="19" t="inlineStr">
        <is>
          <t>reservations</t>
        </is>
      </c>
      <c r="C58" s="19" t="inlineStr">
        <is>
          <t>R0088</t>
        </is>
      </c>
      <c r="D58" s="19" t="n">
        <v>89</v>
      </c>
      <c r="E58" s="19" t="inlineStr">
        <is>
          <t>Пересечение периодов</t>
        </is>
      </c>
      <c r="F58" s="19" t="inlineStr">
        <is>
          <t>V005 2026-10-10–2026-10-18 пересекается с: R0010.</t>
        </is>
      </c>
      <c r="G58" s="22" t="inlineStr">
        <is>
          <t>На проверке (в расчёте)</t>
        </is>
      </c>
      <c r="H58" s="19" t="inlineStr">
        <is>
          <t>Вилла не может быть занята дважды; переключатель на Dashboard показывает итог без этих броней</t>
        </is>
      </c>
    </row>
    <row r="59">
      <c r="A59" s="19" t="n">
        <v>58</v>
      </c>
      <c r="B59" s="19" t="inlineStr">
        <is>
          <t>reservations</t>
        </is>
      </c>
      <c r="C59" s="19" t="inlineStr">
        <is>
          <t>R0090</t>
        </is>
      </c>
      <c r="D59" s="19" t="n">
        <v>91</v>
      </c>
      <c r="E59" s="19" t="inlineStr">
        <is>
          <t>Пересечение периодов</t>
        </is>
      </c>
      <c r="F59" s="19" t="inlineStr">
        <is>
          <t>V013 2026-09-23–2026-09-28 пересекается с: R0001.</t>
        </is>
      </c>
      <c r="G59" s="22" t="inlineStr">
        <is>
          <t>На проверке (в расчёте)</t>
        </is>
      </c>
      <c r="H59" s="19" t="inlineStr">
        <is>
          <t>Вилла не может быть занята дважды; переключатель на Dashboard показывает итог без этих броней</t>
        </is>
      </c>
    </row>
    <row r="60">
      <c r="A60" s="19" t="n">
        <v>59</v>
      </c>
      <c r="B60" s="19" t="inlineStr">
        <is>
          <t>reservations</t>
        </is>
      </c>
      <c r="C60" s="19" t="inlineStr">
        <is>
          <t>R0091</t>
        </is>
      </c>
      <c r="D60" s="19" t="n">
        <v>92</v>
      </c>
      <c r="E60" s="19" t="inlineStr">
        <is>
          <t>Пересечение периодов</t>
        </is>
      </c>
      <c r="F60" s="19" t="inlineStr">
        <is>
          <t>V019 2026-09-06–2026-09-14 пересекается с: R0051.</t>
        </is>
      </c>
      <c r="G60" s="22" t="inlineStr">
        <is>
          <t>На проверке (в расчёте)</t>
        </is>
      </c>
      <c r="H60" s="19" t="inlineStr">
        <is>
          <t>Вилла не может быть занята дважды; переключатель на Dashboard показывает итог без этих броней</t>
        </is>
      </c>
    </row>
    <row r="61">
      <c r="A61" s="19" t="n">
        <v>60</v>
      </c>
      <c r="B61" s="19" t="inlineStr">
        <is>
          <t>reservations</t>
        </is>
      </c>
      <c r="C61" s="19" t="inlineStr">
        <is>
          <t>R0092</t>
        </is>
      </c>
      <c r="D61" s="19" t="n">
        <v>93</v>
      </c>
      <c r="E61" s="19" t="inlineStr">
        <is>
          <t>Пересечение периодов</t>
        </is>
      </c>
      <c r="F61" s="19" t="inlineStr">
        <is>
          <t>V017 2026-09-11–2026-09-18 пересекается с: R0095.</t>
        </is>
      </c>
      <c r="G61" s="22" t="inlineStr">
        <is>
          <t>На проверке (в расчёте)</t>
        </is>
      </c>
      <c r="H61" s="19" t="inlineStr">
        <is>
          <t>Вилла не может быть занята дважды; переключатель на Dashboard показывает итог без этих броней</t>
        </is>
      </c>
    </row>
    <row r="62">
      <c r="A62" s="19" t="n">
        <v>61</v>
      </c>
      <c r="B62" s="19" t="inlineStr">
        <is>
          <t>reservations</t>
        </is>
      </c>
      <c r="C62" s="19" t="inlineStr">
        <is>
          <t>R0094</t>
        </is>
      </c>
      <c r="D62" s="19" t="n">
        <v>95</v>
      </c>
      <c r="E62" s="19" t="inlineStr">
        <is>
          <t>Пересечение периодов</t>
        </is>
      </c>
      <c r="F62" s="19" t="inlineStr">
        <is>
          <t>V016 2026-10-02–2026-10-09 пересекается с: R0082.</t>
        </is>
      </c>
      <c r="G62" s="22" t="inlineStr">
        <is>
          <t>На проверке (в расчёте)</t>
        </is>
      </c>
      <c r="H62" s="19" t="inlineStr">
        <is>
          <t>Вилла не может быть занята дважды; переключатель на Dashboard показывает итог без этих броней</t>
        </is>
      </c>
    </row>
    <row r="63">
      <c r="A63" s="19" t="n">
        <v>62</v>
      </c>
      <c r="B63" s="19" t="inlineStr">
        <is>
          <t>reservations</t>
        </is>
      </c>
      <c r="C63" s="19" t="inlineStr">
        <is>
          <t>R0095</t>
        </is>
      </c>
      <c r="D63" s="19" t="n">
        <v>96</v>
      </c>
      <c r="E63" s="19" t="inlineStr">
        <is>
          <t>Пересечение периодов</t>
        </is>
      </c>
      <c r="F63" s="19" t="inlineStr">
        <is>
          <t>V017 2026-09-15–2026-09-18 пересекается с: R0092.</t>
        </is>
      </c>
      <c r="G63" s="22" t="inlineStr">
        <is>
          <t>На проверке (в расчёте)</t>
        </is>
      </c>
      <c r="H63" s="19" t="inlineStr">
        <is>
          <t>Вилла не может быть занята дважды; переключатель на Dashboard показывает итог без этих броней</t>
        </is>
      </c>
    </row>
    <row r="64">
      <c r="A64" s="19" t="n">
        <v>63</v>
      </c>
      <c r="B64" s="19" t="inlineStr">
        <is>
          <t>reservations</t>
        </is>
      </c>
      <c r="C64" s="19" t="inlineStr">
        <is>
          <t>R0096</t>
        </is>
      </c>
      <c r="D64" s="19" t="n">
        <v>97</v>
      </c>
      <c r="E64" s="19" t="inlineStr">
        <is>
          <t>Пересечение периодов</t>
        </is>
      </c>
      <c r="F64" s="19" t="inlineStr">
        <is>
          <t>V003 2026-09-06–2026-09-14 пересекается с: R0017, R0039, R0101, R0102, R0103, R0128.</t>
        </is>
      </c>
      <c r="G64" s="22" t="inlineStr">
        <is>
          <t>На проверке (в расчёте)</t>
        </is>
      </c>
      <c r="H64" s="19" t="inlineStr">
        <is>
          <t>Вилла не может быть занята дважды; переключатель на Dashboard показывает итог без этих броней</t>
        </is>
      </c>
    </row>
    <row r="65">
      <c r="A65" s="19" t="n">
        <v>64</v>
      </c>
      <c r="B65" s="19" t="inlineStr">
        <is>
          <t>reservations</t>
        </is>
      </c>
      <c r="C65" s="19" t="inlineStr">
        <is>
          <t>R0097</t>
        </is>
      </c>
      <c r="D65" s="19" t="n">
        <v>98</v>
      </c>
      <c r="E65" s="19" t="inlineStr">
        <is>
          <t>Пересечение периодов</t>
        </is>
      </c>
      <c r="F65" s="19" t="inlineStr">
        <is>
          <t>V008 2026-10-26–2026-10-29 пересекается с: R0127.</t>
        </is>
      </c>
      <c r="G65" s="22" t="inlineStr">
        <is>
          <t>На проверке (в расчёте)</t>
        </is>
      </c>
      <c r="H65" s="19" t="inlineStr">
        <is>
          <t>Вилла не может быть занята дважды; переключатель на Dashboard показывает итог без этих броней</t>
        </is>
      </c>
    </row>
    <row r="66">
      <c r="A66" s="19" t="n">
        <v>65</v>
      </c>
      <c r="B66" s="19" t="inlineStr">
        <is>
          <t>reservations</t>
        </is>
      </c>
      <c r="C66" s="19" t="inlineStr">
        <is>
          <t>R0098</t>
        </is>
      </c>
      <c r="D66" s="19" t="n">
        <v>99</v>
      </c>
      <c r="E66" s="19" t="inlineStr">
        <is>
          <t>Пересечение периодов</t>
        </is>
      </c>
      <c r="F66" s="19" t="inlineStr">
        <is>
          <t>V005 2026-09-11–2026-09-15 пересекается с: R0005.</t>
        </is>
      </c>
      <c r="G66" s="22" t="inlineStr">
        <is>
          <t>На проверке (в расчёте)</t>
        </is>
      </c>
      <c r="H66" s="19" t="inlineStr">
        <is>
          <t>Вилла не может быть занята дважды; переключатель на Dashboard показывает итог без этих броней</t>
        </is>
      </c>
    </row>
    <row r="67">
      <c r="A67" s="19" t="n">
        <v>66</v>
      </c>
      <c r="B67" s="19" t="inlineStr">
        <is>
          <t>reservations</t>
        </is>
      </c>
      <c r="C67" s="19" t="inlineStr">
        <is>
          <t>R0099</t>
        </is>
      </c>
      <c r="D67" s="19" t="n">
        <v>100</v>
      </c>
      <c r="E67" s="19" t="inlineStr">
        <is>
          <t>Пересечение периодов</t>
        </is>
      </c>
      <c r="F67" s="19" t="inlineStr">
        <is>
          <t>V016 2026-09-06–2026-09-08 пересекается с: R0060, R0124.</t>
        </is>
      </c>
      <c r="G67" s="22" t="inlineStr">
        <is>
          <t>На проверке (в расчёте)</t>
        </is>
      </c>
      <c r="H67" s="19" t="inlineStr">
        <is>
          <t>Вилла не может быть занята дважды; переключатель на Dashboard показывает итог без этих броней</t>
        </is>
      </c>
    </row>
    <row r="68">
      <c r="A68" s="19" t="n">
        <v>67</v>
      </c>
      <c r="B68" s="19" t="inlineStr">
        <is>
          <t>reservations</t>
        </is>
      </c>
      <c r="C68" s="19" t="inlineStr">
        <is>
          <t>R0101</t>
        </is>
      </c>
      <c r="D68" s="19" t="n">
        <v>102</v>
      </c>
      <c r="E68" s="19" t="inlineStr">
        <is>
          <t>Пересечение периодов</t>
        </is>
      </c>
      <c r="F68" s="19" t="inlineStr">
        <is>
          <t>V003 2026-09-13–2026-09-17 пересекается с: R0029, R0096, R0102, R0103, R0128.</t>
        </is>
      </c>
      <c r="G68" s="22" t="inlineStr">
        <is>
          <t>На проверке (в расчёте)</t>
        </is>
      </c>
      <c r="H68" s="19" t="inlineStr">
        <is>
          <t>Вилла не может быть занята дважды; переключатель на Dashboard показывает итог без этих броней</t>
        </is>
      </c>
    </row>
    <row r="69">
      <c r="A69" s="19" t="n">
        <v>68</v>
      </c>
      <c r="B69" s="19" t="inlineStr">
        <is>
          <t>reservations</t>
        </is>
      </c>
      <c r="C69" s="19" t="inlineStr">
        <is>
          <t>R0102</t>
        </is>
      </c>
      <c r="D69" s="19" t="n">
        <v>103</v>
      </c>
      <c r="E69" s="19" t="inlineStr">
        <is>
          <t>Пересечение периодов</t>
        </is>
      </c>
      <c r="F69" s="19" t="inlineStr">
        <is>
          <t>V003 2026-09-10–2026-09-14 пересекается с: R0017, R0096, R0101, R0103, R0128.</t>
        </is>
      </c>
      <c r="G69" s="22" t="inlineStr">
        <is>
          <t>На проверке (в расчёте)</t>
        </is>
      </c>
      <c r="H69" s="19" t="inlineStr">
        <is>
          <t>Вилла не может быть занята дважды; переключатель на Dashboard показывает итог без этих броней</t>
        </is>
      </c>
    </row>
    <row r="70">
      <c r="A70" s="19" t="n">
        <v>69</v>
      </c>
      <c r="B70" s="19" t="inlineStr">
        <is>
          <t>reservations</t>
        </is>
      </c>
      <c r="C70" s="19" t="inlineStr">
        <is>
          <t>R0103</t>
        </is>
      </c>
      <c r="D70" s="19" t="n">
        <v>104</v>
      </c>
      <c r="E70" s="19" t="inlineStr">
        <is>
          <t>Пересечение периодов</t>
        </is>
      </c>
      <c r="F70" s="19" t="inlineStr">
        <is>
          <t>V003 2026-09-12–2026-09-19 пересекается с: R0029, R0096, R0101, R0102, R0128.</t>
        </is>
      </c>
      <c r="G70" s="22" t="inlineStr">
        <is>
          <t>На проверке (в расчёте)</t>
        </is>
      </c>
      <c r="H70" s="19" t="inlineStr">
        <is>
          <t>Вилла не может быть занята дважды; переключатель на Dashboard показывает итог без этих броней</t>
        </is>
      </c>
    </row>
    <row r="71">
      <c r="A71" s="19" t="n">
        <v>70</v>
      </c>
      <c r="B71" s="19" t="inlineStr">
        <is>
          <t>reservations</t>
        </is>
      </c>
      <c r="C71" s="19" t="inlineStr">
        <is>
          <t>R0105</t>
        </is>
      </c>
      <c r="D71" s="19" t="n">
        <v>106</v>
      </c>
      <c r="E71" s="19" t="inlineStr">
        <is>
          <t>Пересечение периодов</t>
        </is>
      </c>
      <c r="F71" s="19" t="inlineStr">
        <is>
          <t>V010 2026-09-06–2026-09-10 пересекается с: R0076.</t>
        </is>
      </c>
      <c r="G71" s="22" t="inlineStr">
        <is>
          <t>На проверке (в расчёте)</t>
        </is>
      </c>
      <c r="H71" s="19" t="inlineStr">
        <is>
          <t>Вилла не может быть занята дважды; переключатель на Dashboard показывает итог без этих броней</t>
        </is>
      </c>
    </row>
    <row r="72">
      <c r="A72" s="19" t="n">
        <v>71</v>
      </c>
      <c r="B72" s="19" t="inlineStr">
        <is>
          <t>reservations</t>
        </is>
      </c>
      <c r="C72" s="19" t="inlineStr">
        <is>
          <t>R0106</t>
        </is>
      </c>
      <c r="D72" s="19" t="n">
        <v>107</v>
      </c>
      <c r="E72" s="19" t="inlineStr">
        <is>
          <t>Пересечение периодов</t>
        </is>
      </c>
      <c r="F72" s="19" t="inlineStr">
        <is>
          <t>V016 2026-09-23–2026-09-28 пересекается с: R0082.</t>
        </is>
      </c>
      <c r="G72" s="22" t="inlineStr">
        <is>
          <t>На проверке (в расчёте)</t>
        </is>
      </c>
      <c r="H72" s="19" t="inlineStr">
        <is>
          <t>Вилла не может быть занята дважды; переключатель на Dashboard показывает итог без этих броней</t>
        </is>
      </c>
    </row>
    <row r="73">
      <c r="A73" s="19" t="n">
        <v>72</v>
      </c>
      <c r="B73" s="19" t="inlineStr">
        <is>
          <t>reservations</t>
        </is>
      </c>
      <c r="C73" s="19" t="inlineStr">
        <is>
          <t>R0112</t>
        </is>
      </c>
      <c r="D73" s="19" t="n">
        <v>113</v>
      </c>
      <c r="E73" s="19" t="inlineStr">
        <is>
          <t>Пересечение периодов</t>
        </is>
      </c>
      <c r="F73" s="19" t="inlineStr">
        <is>
          <t>V008 2026-09-22–2026-09-25 пересекается с: R0027, R0146.</t>
        </is>
      </c>
      <c r="G73" s="22" t="inlineStr">
        <is>
          <t>На проверке (в расчёте)</t>
        </is>
      </c>
      <c r="H73" s="19" t="inlineStr">
        <is>
          <t>Вилла не может быть занята дважды; переключатель на Dashboard показывает итог без этих броней</t>
        </is>
      </c>
    </row>
    <row r="74">
      <c r="A74" s="19" t="n">
        <v>73</v>
      </c>
      <c r="B74" s="19" t="inlineStr">
        <is>
          <t>reservations</t>
        </is>
      </c>
      <c r="C74" s="19" t="inlineStr">
        <is>
          <t>R0113</t>
        </is>
      </c>
      <c r="D74" s="19" t="n">
        <v>114</v>
      </c>
      <c r="E74" s="19" t="inlineStr">
        <is>
          <t>Пересечение периодов</t>
        </is>
      </c>
      <c r="F74" s="19" t="inlineStr">
        <is>
          <t>V020 2026-10-04–2026-10-09 пересекается с: R0013, R0043, R0130.</t>
        </is>
      </c>
      <c r="G74" s="22" t="inlineStr">
        <is>
          <t>На проверке (в расчёте)</t>
        </is>
      </c>
      <c r="H74" s="19" t="inlineStr">
        <is>
          <t>Вилла не может быть занята дважды; переключатель на Dashboard показывает итог без этих броней</t>
        </is>
      </c>
    </row>
    <row r="75">
      <c r="A75" s="19" t="n">
        <v>74</v>
      </c>
      <c r="B75" s="19" t="inlineStr">
        <is>
          <t>reservations</t>
        </is>
      </c>
      <c r="C75" s="19" t="inlineStr">
        <is>
          <t>R0115</t>
        </is>
      </c>
      <c r="D75" s="19" t="n">
        <v>116</v>
      </c>
      <c r="E75" s="19" t="inlineStr">
        <is>
          <t>Пересечение периодов</t>
        </is>
      </c>
      <c r="F75" s="19" t="inlineStr">
        <is>
          <t>V017 2026-09-30–2026-10-03 пересекается с: R0045.</t>
        </is>
      </c>
      <c r="G75" s="22" t="inlineStr">
        <is>
          <t>На проверке (в расчёте)</t>
        </is>
      </c>
      <c r="H75" s="19" t="inlineStr">
        <is>
          <t>Вилла не может быть занята дважды; переключатель на Dashboard показывает итог без этих броней</t>
        </is>
      </c>
    </row>
    <row r="76">
      <c r="A76" s="19" t="n">
        <v>75</v>
      </c>
      <c r="B76" s="19" t="inlineStr">
        <is>
          <t>reservations</t>
        </is>
      </c>
      <c r="C76" s="19" t="inlineStr">
        <is>
          <t>R0116</t>
        </is>
      </c>
      <c r="D76" s="19" t="n">
        <v>117</v>
      </c>
      <c r="E76" s="19" t="inlineStr">
        <is>
          <t>Пересечение периодов</t>
        </is>
      </c>
      <c r="F76" s="19" t="inlineStr">
        <is>
          <t>V020 2026-09-28–2026-10-01 пересекается с: R0028.</t>
        </is>
      </c>
      <c r="G76" s="22" t="inlineStr">
        <is>
          <t>На проверке (в расчёте)</t>
        </is>
      </c>
      <c r="H76" s="19" t="inlineStr">
        <is>
          <t>Вилла не может быть занята дважды; переключатель на Dashboard показывает итог без этих броней</t>
        </is>
      </c>
    </row>
    <row r="77">
      <c r="A77" s="19" t="n">
        <v>76</v>
      </c>
      <c r="B77" s="19" t="inlineStr">
        <is>
          <t>reservations</t>
        </is>
      </c>
      <c r="C77" s="19" t="inlineStr">
        <is>
          <t>R0117</t>
        </is>
      </c>
      <c r="D77" s="19" t="n">
        <v>118</v>
      </c>
      <c r="E77" s="19" t="inlineStr">
        <is>
          <t>Пересечение периодов</t>
        </is>
      </c>
      <c r="F77" s="19" t="inlineStr">
        <is>
          <t>V005 2026-10-06–2026-10-08 пересекается с: R0010.</t>
        </is>
      </c>
      <c r="G77" s="22" t="inlineStr">
        <is>
          <t>На проверке (в расчёте)</t>
        </is>
      </c>
      <c r="H77" s="19" t="inlineStr">
        <is>
          <t>Вилла не может быть занята дважды; переключатель на Dashboard показывает итог без этих броней</t>
        </is>
      </c>
    </row>
    <row r="78">
      <c r="A78" s="19" t="n">
        <v>77</v>
      </c>
      <c r="B78" s="19" t="inlineStr">
        <is>
          <t>reservations</t>
        </is>
      </c>
      <c r="C78" s="19" t="inlineStr">
        <is>
          <t>R0119</t>
        </is>
      </c>
      <c r="D78" s="19" t="n">
        <v>120</v>
      </c>
      <c r="E78" s="19" t="inlineStr">
        <is>
          <t>Пересечение периодов</t>
        </is>
      </c>
      <c r="F78" s="19" t="inlineStr">
        <is>
          <t>V013 2026-09-16–2026-09-23 пересекается с: R0001.</t>
        </is>
      </c>
      <c r="G78" s="22" t="inlineStr">
        <is>
          <t>На проверке (в расчёте)</t>
        </is>
      </c>
      <c r="H78" s="19" t="inlineStr">
        <is>
          <t>Вилла не может быть занята дважды; переключатель на Dashboard показывает итог без этих броней</t>
        </is>
      </c>
    </row>
    <row r="79">
      <c r="A79" s="19" t="n">
        <v>78</v>
      </c>
      <c r="B79" s="19" t="inlineStr">
        <is>
          <t>reservations</t>
        </is>
      </c>
      <c r="C79" s="19" t="inlineStr">
        <is>
          <t>R0120</t>
        </is>
      </c>
      <c r="D79" s="19" t="n">
        <v>121</v>
      </c>
      <c r="E79" s="19" t="inlineStr">
        <is>
          <t>Пересечение периодов</t>
        </is>
      </c>
      <c r="F79" s="19" t="inlineStr">
        <is>
          <t>V010 2026-09-18–2026-09-23 пересекается с: R0075.</t>
        </is>
      </c>
      <c r="G79" s="22" t="inlineStr">
        <is>
          <t>На проверке (в расчёте)</t>
        </is>
      </c>
      <c r="H79" s="19" t="inlineStr">
        <is>
          <t>Вилла не может быть занята дважды; переключатель на Dashboard показывает итог без этих броней</t>
        </is>
      </c>
    </row>
    <row r="80">
      <c r="A80" s="19" t="n">
        <v>79</v>
      </c>
      <c r="B80" s="19" t="inlineStr">
        <is>
          <t>reservations</t>
        </is>
      </c>
      <c r="C80" s="19" t="inlineStr">
        <is>
          <t>R0121</t>
        </is>
      </c>
      <c r="D80" s="19" t="n">
        <v>122</v>
      </c>
      <c r="E80" s="19" t="inlineStr">
        <is>
          <t>Пересечение периодов</t>
        </is>
      </c>
      <c r="F80" s="19" t="inlineStr">
        <is>
          <t>V010 2026-09-13–2026-09-17 пересекается с: R0041, R0077.</t>
        </is>
      </c>
      <c r="G80" s="22" t="inlineStr">
        <is>
          <t>На проверке (в расчёте)</t>
        </is>
      </c>
      <c r="H80" s="19" t="inlineStr">
        <is>
          <t>Вилла не может быть занята дважды; переключатель на Dashboard показывает итог без этих броней</t>
        </is>
      </c>
    </row>
    <row r="81">
      <c r="A81" s="19" t="n">
        <v>80</v>
      </c>
      <c r="B81" s="19" t="inlineStr">
        <is>
          <t>reservations</t>
        </is>
      </c>
      <c r="C81" s="19" t="inlineStr">
        <is>
          <t>R0122</t>
        </is>
      </c>
      <c r="D81" s="19" t="n">
        <v>123</v>
      </c>
      <c r="E81" s="19" t="inlineStr">
        <is>
          <t>Пересечение периодов</t>
        </is>
      </c>
      <c r="F81" s="19" t="inlineStr">
        <is>
          <t>V020 2026-10-11–2026-10-14 пересекается с: R0043.</t>
        </is>
      </c>
      <c r="G81" s="22" t="inlineStr">
        <is>
          <t>На проверке (в расчёте)</t>
        </is>
      </c>
      <c r="H81" s="19" t="inlineStr">
        <is>
          <t>Вилла не может быть занята дважды; переключатель на Dashboard показывает итог без этих броней</t>
        </is>
      </c>
    </row>
    <row r="82">
      <c r="A82" s="19" t="n">
        <v>81</v>
      </c>
      <c r="B82" s="19" t="inlineStr">
        <is>
          <t>reservations</t>
        </is>
      </c>
      <c r="C82" s="19" t="inlineStr">
        <is>
          <t>R0124</t>
        </is>
      </c>
      <c r="D82" s="19" t="n">
        <v>125</v>
      </c>
      <c r="E82" s="19" t="inlineStr">
        <is>
          <t>Пересечение периодов</t>
        </is>
      </c>
      <c r="F82" s="19" t="inlineStr">
        <is>
          <t>V016 2026-09-04–2026-09-10 пересекается с: R0060, R0099.</t>
        </is>
      </c>
      <c r="G82" s="22" t="inlineStr">
        <is>
          <t>На проверке (в расчёте)</t>
        </is>
      </c>
      <c r="H82" s="19" t="inlineStr">
        <is>
          <t>Вилла не может быть занята дважды; переключатель на Dashboard показывает итог без этих броней</t>
        </is>
      </c>
    </row>
    <row r="83">
      <c r="A83" s="19" t="n">
        <v>82</v>
      </c>
      <c r="B83" s="19" t="inlineStr">
        <is>
          <t>reservations</t>
        </is>
      </c>
      <c r="C83" s="19" t="inlineStr">
        <is>
          <t>R0126</t>
        </is>
      </c>
      <c r="D83" s="19" t="n">
        <v>127</v>
      </c>
      <c r="E83" s="19" t="inlineStr">
        <is>
          <t>Пересечение периодов</t>
        </is>
      </c>
      <c r="F83" s="19" t="inlineStr">
        <is>
          <t>V015 2026-09-09–2026-09-14 пересекается с: R0145.</t>
        </is>
      </c>
      <c r="G83" s="22" t="inlineStr">
        <is>
          <t>На проверке (в расчёте)</t>
        </is>
      </c>
      <c r="H83" s="19" t="inlineStr">
        <is>
          <t>Вилла не может быть занята дважды; переключатель на Dashboard показывает итог без этих броней</t>
        </is>
      </c>
    </row>
    <row r="84">
      <c r="A84" s="19" t="n">
        <v>83</v>
      </c>
      <c r="B84" s="19" t="inlineStr">
        <is>
          <t>reservations</t>
        </is>
      </c>
      <c r="C84" s="19" t="inlineStr">
        <is>
          <t>R0127</t>
        </is>
      </c>
      <c r="D84" s="19" t="n">
        <v>128</v>
      </c>
      <c r="E84" s="19" t="inlineStr">
        <is>
          <t>Пересечение периодов</t>
        </is>
      </c>
      <c r="F84" s="19" t="inlineStr">
        <is>
          <t>V008 2026-10-22–2026-10-27 пересекается с: R0042, R0097.</t>
        </is>
      </c>
      <c r="G84" s="22" t="inlineStr">
        <is>
          <t>На проверке (в расчёте)</t>
        </is>
      </c>
      <c r="H84" s="19" t="inlineStr">
        <is>
          <t>Вилла не может быть занята дважды; переключатель на Dashboard показывает итог без этих броней</t>
        </is>
      </c>
    </row>
    <row r="85">
      <c r="A85" s="19" t="n">
        <v>84</v>
      </c>
      <c r="B85" s="19" t="inlineStr">
        <is>
          <t>reservations</t>
        </is>
      </c>
      <c r="C85" s="19" t="inlineStr">
        <is>
          <t>R0128</t>
        </is>
      </c>
      <c r="D85" s="19" t="n">
        <v>129</v>
      </c>
      <c r="E85" s="19" t="inlineStr">
        <is>
          <t>Пересечение периодов</t>
        </is>
      </c>
      <c r="F85" s="19" t="inlineStr">
        <is>
          <t>V003 2026-09-13–2026-09-16 пересекается с: R0029, R0096, R0101, R0102, R0103.</t>
        </is>
      </c>
      <c r="G85" s="22" t="inlineStr">
        <is>
          <t>На проверке (в расчёте)</t>
        </is>
      </c>
      <c r="H85" s="19" t="inlineStr">
        <is>
          <t>Вилла не может быть занята дважды; переключатель на Dashboard показывает итог без этих броней</t>
        </is>
      </c>
    </row>
    <row r="86">
      <c r="A86" s="19" t="n">
        <v>85</v>
      </c>
      <c r="B86" s="19" t="inlineStr">
        <is>
          <t>reservations</t>
        </is>
      </c>
      <c r="C86" s="19" t="inlineStr">
        <is>
          <t>R0129</t>
        </is>
      </c>
      <c r="D86" s="19" t="n">
        <v>130</v>
      </c>
      <c r="E86" s="19" t="inlineStr">
        <is>
          <t>Пересечение периодов</t>
        </is>
      </c>
      <c r="F86" s="19" t="inlineStr">
        <is>
          <t>V002 2026-10-13–2026-10-17 пересекается с: R0048.</t>
        </is>
      </c>
      <c r="G86" s="22" t="inlineStr">
        <is>
          <t>На проверке (в расчёте)</t>
        </is>
      </c>
      <c r="H86" s="19" t="inlineStr">
        <is>
          <t>Вилла не может быть занята дважды; переключатель на Dashboard показывает итог без этих броней</t>
        </is>
      </c>
    </row>
    <row r="87">
      <c r="A87" s="19" t="n">
        <v>86</v>
      </c>
      <c r="B87" s="19" t="inlineStr">
        <is>
          <t>reservations</t>
        </is>
      </c>
      <c r="C87" s="19" t="inlineStr">
        <is>
          <t>R0130</t>
        </is>
      </c>
      <c r="D87" s="19" t="n">
        <v>131</v>
      </c>
      <c r="E87" s="19" t="inlineStr">
        <is>
          <t>Пересечение периодов</t>
        </is>
      </c>
      <c r="F87" s="19" t="inlineStr">
        <is>
          <t>V020 2026-10-04–2026-10-06 пересекается с: R0113.</t>
        </is>
      </c>
      <c r="G87" s="22" t="inlineStr">
        <is>
          <t>На проверке (в расчёте)</t>
        </is>
      </c>
      <c r="H87" s="19" t="inlineStr">
        <is>
          <t>Вилла не может быть занята дважды; переключатель на Dashboard показывает итог без этих броней</t>
        </is>
      </c>
    </row>
    <row r="88">
      <c r="A88" s="19" t="n">
        <v>87</v>
      </c>
      <c r="B88" s="19" t="inlineStr">
        <is>
          <t>reservations</t>
        </is>
      </c>
      <c r="C88" s="19" t="inlineStr">
        <is>
          <t>R0145</t>
        </is>
      </c>
      <c r="D88" s="19" t="n">
        <v>146</v>
      </c>
      <c r="E88" s="19" t="inlineStr">
        <is>
          <t>Пересечение периодов</t>
        </is>
      </c>
      <c r="F88" s="19" t="inlineStr">
        <is>
          <t>V015 2026-09-08–2026-09-13 пересекается с: R0126. Статус modified без ссылки на исходную бронь.</t>
        </is>
      </c>
      <c r="G88" s="22" t="inlineStr">
        <is>
          <t>На проверке (в расчёте)</t>
        </is>
      </c>
      <c r="H88" s="19" t="inlineStr">
        <is>
          <t>Вилла не может быть занята дважды; переключатель на Dashboard показывает итог без этих броней</t>
        </is>
      </c>
    </row>
    <row r="89">
      <c r="A89" s="19" t="n">
        <v>88</v>
      </c>
      <c r="B89" s="19" t="inlineStr">
        <is>
          <t>reservations</t>
        </is>
      </c>
      <c r="C89" s="19" t="inlineStr">
        <is>
          <t>R0146</t>
        </is>
      </c>
      <c r="D89" s="19" t="n">
        <v>147</v>
      </c>
      <c r="E89" s="19" t="inlineStr">
        <is>
          <t>Пересечение периодов</t>
        </is>
      </c>
      <c r="F89" s="19" t="inlineStr">
        <is>
          <t>V008 2026-09-19–2026-09-24 пересекается с: R0027, R0112. Статус modified без ссылки на исходную бронь.</t>
        </is>
      </c>
      <c r="G89" s="22" t="inlineStr">
        <is>
          <t>На проверке (в расчёте)</t>
        </is>
      </c>
      <c r="H89" s="19" t="inlineStr">
        <is>
          <t>Вилла не может быть занята дважды; переключатель на Dashboard показывает итог без этих броней</t>
        </is>
      </c>
    </row>
    <row r="90">
      <c r="A90" s="19" t="n">
        <v>89</v>
      </c>
      <c r="B90" s="19" t="inlineStr">
        <is>
          <t>reservations</t>
        </is>
      </c>
      <c r="C90" s="19" t="inlineStr">
        <is>
          <t>R0148</t>
        </is>
      </c>
      <c r="D90" s="19" t="n">
        <v>149</v>
      </c>
      <c r="E90" s="19" t="inlineStr">
        <is>
          <t>Пересечение периодов</t>
        </is>
      </c>
      <c r="F90" s="19" t="inlineStr">
        <is>
          <t>V017 2026-10-04–2026-10-09 пересекается с: R0038, R0045. Статус modified без ссылки на исходную бронь.</t>
        </is>
      </c>
      <c r="G90" s="22" t="inlineStr">
        <is>
          <t>На проверке (в расчёте)</t>
        </is>
      </c>
      <c r="H90" s="19" t="inlineStr">
        <is>
          <t>Вилла не может быть занята дважды; переключатель на Dashboard показывает итог без этих броней</t>
        </is>
      </c>
    </row>
    <row r="91">
      <c r="A91" s="19" t="n">
        <v>90</v>
      </c>
      <c r="B91" s="19" t="inlineStr">
        <is>
          <t>reservations</t>
        </is>
      </c>
      <c r="C91" s="19" t="inlineStr">
        <is>
          <t>R0149</t>
        </is>
      </c>
      <c r="D91" s="19" t="n">
        <v>150</v>
      </c>
      <c r="E91" s="19" t="inlineStr">
        <is>
          <t>Пересечение периодов</t>
        </is>
      </c>
      <c r="F91" s="19" t="inlineStr">
        <is>
          <t>V009 2026-09-02–2026-09-09 пересекается с: R0150. Статус modified без ссылки на исходную бронь.</t>
        </is>
      </c>
      <c r="G91" s="22" t="inlineStr">
        <is>
          <t>На проверке (в расчёте)</t>
        </is>
      </c>
      <c r="H91" s="19" t="inlineStr">
        <is>
          <t>Вилла не может быть занята дважды; переключатель на Dashboard показывает итог без этих броней</t>
        </is>
      </c>
    </row>
    <row r="92">
      <c r="A92" s="19" t="n">
        <v>91</v>
      </c>
      <c r="B92" s="19" t="inlineStr">
        <is>
          <t>reservations</t>
        </is>
      </c>
      <c r="C92" s="19" t="inlineStr">
        <is>
          <t>R0150</t>
        </is>
      </c>
      <c r="D92" s="19" t="n">
        <v>151</v>
      </c>
      <c r="E92" s="19" t="inlineStr">
        <is>
          <t>Пересечение периодов</t>
        </is>
      </c>
      <c r="F92" s="19" t="inlineStr">
        <is>
          <t>V009 2026-09-01–2026-09-09 пересекается с: R0149. Статус modified без ссылки на исходную бронь.</t>
        </is>
      </c>
      <c r="G92" s="22" t="inlineStr">
        <is>
          <t>На проверке (в расчёте)</t>
        </is>
      </c>
      <c r="H92" s="19" t="inlineStr">
        <is>
          <t>Вилла не может быть занята дважды; переключатель на Dashboard показывает итог без этих броней</t>
        </is>
      </c>
    </row>
    <row r="93">
      <c r="A93" s="19" t="n">
        <v>92</v>
      </c>
      <c r="B93" s="19" t="inlineStr">
        <is>
          <t>reservations</t>
        </is>
      </c>
      <c r="C93" s="19" t="inlineStr">
        <is>
          <t>R0149, R0150</t>
        </is>
      </c>
      <c r="D93" s="19" t="inlineStr">
        <is>
          <t>149, 150</t>
        </is>
      </c>
      <c r="E93" s="19" t="inlineStr">
        <is>
          <t>Скрытый дубль</t>
        </is>
      </c>
      <c r="F93" s="19" t="inlineStr">
        <is>
          <t>Обе брони modified, V009, почти одни даты (09-01/09-02 → 09-09), разный gross. Похоже на две версии одной брони; платёж есть только по R0150</t>
        </is>
      </c>
      <c r="G93" s="22" t="inlineStr">
        <is>
          <t>На проверке (в расчёте)</t>
        </is>
      </c>
      <c r="H93" s="19" t="inlineStr">
        <is>
          <t>Если R0149 — старая версия, выручка V009 завышена на 14 235 106</t>
        </is>
      </c>
    </row>
    <row r="94">
      <c r="A94" s="19" t="n">
        <v>93</v>
      </c>
      <c r="B94" s="19" t="inlineStr">
        <is>
          <t>reservations</t>
        </is>
      </c>
      <c r="C94" s="19" t="inlineStr">
        <is>
          <t>R0033, R0056</t>
        </is>
      </c>
      <c r="D94" s="19" t="inlineStr">
        <is>
          <t>34, 57</t>
        </is>
      </c>
      <c r="E94" s="19" t="inlineStr">
        <is>
          <t>Скрытый дубль</t>
        </is>
      </c>
      <c r="F94" s="19" t="inlineStr">
        <is>
          <t>V008, одинаковые даты 2026-09-25 → 2026-10-02, разные суммы (14 606 373 и 5 624 162). Платёж только по R0056</t>
        </is>
      </c>
      <c r="G94" s="22" t="inlineStr">
        <is>
          <t>На проверке (в расчёте)</t>
        </is>
      </c>
      <c r="H94" s="19" t="inlineStr">
        <is>
          <t>Двойное бронирование или дубль с ошибкой в сумме</t>
        </is>
      </c>
    </row>
    <row r="95">
      <c r="A95" s="19" t="n">
        <v>94</v>
      </c>
      <c r="B95" s="19" t="inlineStr">
        <is>
          <t>reservations</t>
        </is>
      </c>
      <c r="C95" s="19" t="inlineStr">
        <is>
          <t>все cancelled</t>
        </is>
      </c>
      <c r="D95" s="19" t="inlineStr"/>
      <c r="E95" s="19" t="inlineStr">
        <is>
          <t>Логика</t>
        </is>
      </c>
      <c r="F95" s="19" t="inlineStr">
        <is>
          <t>У 12 отменённых броней заполнена ota_fee, при этом refund = gross (полный возврат)</t>
        </is>
      </c>
      <c r="G95" s="22" t="inlineStr">
        <is>
          <t>Вопрос финдиректору (допущение в расчёте)</t>
        </is>
      </c>
      <c r="H95" s="19" t="inlineStr">
        <is>
          <t>OTA fee по отмене считаю сторнированной: fee × (gross − refund) / gross = 0. Вопрос финдиректору: удерживает ли OTA комиссию</t>
        </is>
      </c>
    </row>
    <row r="96">
      <c r="A96" s="19" t="n">
        <v>95</v>
      </c>
      <c r="B96" s="19" t="inlineStr">
        <is>
          <t>reservations</t>
        </is>
      </c>
      <c r="C96" s="19" t="inlineStr">
        <is>
          <t>все Direct</t>
        </is>
      </c>
      <c r="D96" s="19" t="inlineStr"/>
      <c r="E96" s="19" t="inlineStr">
        <is>
          <t>Логика</t>
        </is>
      </c>
      <c r="F96" s="19" t="inlineStr">
        <is>
          <t>У 30 прямых броней (channel=Direct) заполнена ota_fee 12–17%</t>
        </is>
      </c>
      <c r="G96" s="22" t="inlineStr">
        <is>
          <t>Вопрос финдиректору (в расчёте как есть)</t>
        </is>
      </c>
      <c r="H96" s="19" t="inlineStr">
        <is>
          <t>Если это не OTA, а эквайринг или ошибка, OTA fees завышены</t>
        </is>
      </c>
    </row>
    <row r="97">
      <c r="A97" s="19" t="n">
        <v>96</v>
      </c>
      <c r="B97" s="19" t="inlineStr">
        <is>
          <t>reservations</t>
        </is>
      </c>
      <c r="C97" s="19" t="inlineStr">
        <is>
          <t>R0143, R0144, R0145, R0146, R0147, R0148, R0149, R0150</t>
        </is>
      </c>
      <c r="D97" s="19" t="inlineStr"/>
      <c r="E97" s="19" t="inlineStr">
        <is>
          <t>Логика</t>
        </is>
      </c>
      <c r="F97" s="19" t="inlineStr">
        <is>
          <t>Статус modified без ссылки на исходную бронь; исходная версия могла остаться в данных как confirmed</t>
        </is>
      </c>
      <c r="G97" s="19" t="inlineStr">
        <is>
          <t>Инфо (в расчёте как текущая версия)</t>
        </is>
      </c>
      <c r="H97" s="19" t="inlineStr">
        <is>
          <t>Возможен двойной учёт, см. пересечения</t>
        </is>
      </c>
    </row>
    <row r="98">
      <c r="A98" s="19" t="n">
        <v>97</v>
      </c>
      <c r="B98" s="19" t="inlineStr">
        <is>
          <t>payments</t>
        </is>
      </c>
      <c r="C98" s="19" t="inlineStr">
        <is>
          <t>P0017</t>
        </is>
      </c>
      <c r="D98" s="19" t="n">
        <v>18</v>
      </c>
      <c r="E98" s="19" t="inlineStr">
        <is>
          <t>Некорректный ID</t>
        </is>
      </c>
      <c r="F98" s="19" t="inlineStr">
        <is>
          <t>Объект V999 (бронь R0034) отсутствует в properties.csv</t>
        </is>
      </c>
      <c r="G98" s="21" t="inlineStr">
        <is>
          <t>Исключено + на проверку</t>
        </is>
      </c>
      <c r="H98" s="19" t="inlineStr">
        <is>
          <t>Деньги поступили, но не отнесены ни к одному объекту</t>
        </is>
      </c>
    </row>
    <row r="99">
      <c r="A99" s="19" t="n">
        <v>98</v>
      </c>
      <c r="B99" s="19" t="inlineStr">
        <is>
          <t>payments</t>
        </is>
      </c>
      <c r="C99" s="19" t="inlineStr">
        <is>
          <t>P0036</t>
        </is>
      </c>
      <c r="D99" s="19" t="n">
        <v>37</v>
      </c>
      <c r="E99" s="19" t="inlineStr">
        <is>
          <t>Арифметика</t>
        </is>
      </c>
      <c r="F99" s="19" t="inlineStr">
        <is>
          <t>Сумма 0 со статусом received (бронь R0072, confirmed)</t>
        </is>
      </c>
      <c r="G99" s="21" t="inlineStr">
        <is>
          <t>Исключено</t>
        </is>
      </c>
      <c r="H99" s="19" t="inlineStr">
        <is>
          <t>Не поступление; на суммы не влияет, но искажает число платежей</t>
        </is>
      </c>
    </row>
    <row r="100">
      <c r="A100" s="19" t="n">
        <v>99</v>
      </c>
      <c r="B100" s="19" t="inlineStr">
        <is>
          <t>payments</t>
        </is>
      </c>
      <c r="C100" s="19" t="inlineStr">
        <is>
          <t>P0066</t>
        </is>
      </c>
      <c r="D100" s="19" t="n">
        <v>67</v>
      </c>
      <c r="E100" s="19" t="inlineStr">
        <is>
          <t>Арифметика</t>
        </is>
      </c>
      <c r="F100" s="19" t="inlineStr">
        <is>
          <t>Сумма 0 со статусом received (бронь R0132, cancelled)</t>
        </is>
      </c>
      <c r="G100" s="21" t="inlineStr">
        <is>
          <t>Исключено</t>
        </is>
      </c>
      <c r="H100" s="19" t="inlineStr">
        <is>
          <t>Не поступление; на суммы не влияет, но искажает число платежей</t>
        </is>
      </c>
    </row>
    <row r="101">
      <c r="A101" s="19" t="n">
        <v>100</v>
      </c>
      <c r="B101" s="19" t="inlineStr">
        <is>
          <t>payments</t>
        </is>
      </c>
      <c r="C101" s="19" t="inlineStr">
        <is>
          <t>P0067</t>
        </is>
      </c>
      <c r="D101" s="19" t="n">
        <v>68</v>
      </c>
      <c r="E101" s="19" t="inlineStr">
        <is>
          <t>Арифметика</t>
        </is>
      </c>
      <c r="F101" s="19" t="inlineStr">
        <is>
          <t>Сумма 0 со статусом received (бронь R0134, cancelled)</t>
        </is>
      </c>
      <c r="G101" s="21" t="inlineStr">
        <is>
          <t>Исключено</t>
        </is>
      </c>
      <c r="H101" s="19" t="inlineStr">
        <is>
          <t>Не поступление; на суммы не влияет, но искажает число платежей</t>
        </is>
      </c>
    </row>
    <row r="102">
      <c r="A102" s="19" t="n">
        <v>101</v>
      </c>
      <c r="B102" s="19" t="inlineStr">
        <is>
          <t>payments</t>
        </is>
      </c>
      <c r="C102" s="19" t="inlineStr">
        <is>
          <t>P0068</t>
        </is>
      </c>
      <c r="D102" s="19" t="n">
        <v>69</v>
      </c>
      <c r="E102" s="19" t="inlineStr">
        <is>
          <t>Арифметика</t>
        </is>
      </c>
      <c r="F102" s="19" t="inlineStr">
        <is>
          <t>Сумма 0 со статусом received (бронь R0136, cancelled)</t>
        </is>
      </c>
      <c r="G102" s="21" t="inlineStr">
        <is>
          <t>Исключено</t>
        </is>
      </c>
      <c r="H102" s="19" t="inlineStr">
        <is>
          <t>Не поступление; на суммы не влияет, но искажает число платежей</t>
        </is>
      </c>
    </row>
    <row r="103">
      <c r="A103" s="19" t="n">
        <v>102</v>
      </c>
      <c r="B103" s="19" t="inlineStr">
        <is>
          <t>payments</t>
        </is>
      </c>
      <c r="C103" s="19" t="inlineStr">
        <is>
          <t>P0069</t>
        </is>
      </c>
      <c r="D103" s="19" t="n">
        <v>70</v>
      </c>
      <c r="E103" s="19" t="inlineStr">
        <is>
          <t>Арифметика</t>
        </is>
      </c>
      <c r="F103" s="19" t="inlineStr">
        <is>
          <t>Сумма 0 со статусом received (бронь R0138, cancelled)</t>
        </is>
      </c>
      <c r="G103" s="21" t="inlineStr">
        <is>
          <t>Исключено</t>
        </is>
      </c>
      <c r="H103" s="19" t="inlineStr">
        <is>
          <t>Не поступление; на суммы не влияет, но искажает число платежей</t>
        </is>
      </c>
    </row>
    <row r="104">
      <c r="A104" s="19" t="n">
        <v>103</v>
      </c>
      <c r="B104" s="19" t="inlineStr">
        <is>
          <t>payments</t>
        </is>
      </c>
      <c r="C104" s="19" t="inlineStr">
        <is>
          <t>P0070</t>
        </is>
      </c>
      <c r="D104" s="19" t="n">
        <v>71</v>
      </c>
      <c r="E104" s="19" t="inlineStr">
        <is>
          <t>Арифметика</t>
        </is>
      </c>
      <c r="F104" s="19" t="inlineStr">
        <is>
          <t>Сумма 0 со статусом received (бронь R0140, cancelled)</t>
        </is>
      </c>
      <c r="G104" s="21" t="inlineStr">
        <is>
          <t>Исключено</t>
        </is>
      </c>
      <c r="H104" s="19" t="inlineStr">
        <is>
          <t>Не поступление; на суммы не влияет, но искажает число платежей</t>
        </is>
      </c>
    </row>
    <row r="105">
      <c r="A105" s="19" t="n">
        <v>104</v>
      </c>
      <c r="B105" s="19" t="inlineStr">
        <is>
          <t>payments</t>
        </is>
      </c>
      <c r="C105" s="19" t="inlineStr">
        <is>
          <t>P0071</t>
        </is>
      </c>
      <c r="D105" s="19" t="n">
        <v>72</v>
      </c>
      <c r="E105" s="19" t="inlineStr">
        <is>
          <t>Арифметика</t>
        </is>
      </c>
      <c r="F105" s="19" t="inlineStr">
        <is>
          <t>Сумма 0 со статусом received (бронь R0142, cancelled)</t>
        </is>
      </c>
      <c r="G105" s="21" t="inlineStr">
        <is>
          <t>Исключено</t>
        </is>
      </c>
      <c r="H105" s="19" t="inlineStr">
        <is>
          <t>Не поступление; на суммы не влияет, но искажает число платежей</t>
        </is>
      </c>
    </row>
    <row r="106">
      <c r="A106" s="19" t="n">
        <v>105</v>
      </c>
      <c r="B106" s="19" t="inlineStr">
        <is>
          <t>payments</t>
        </is>
      </c>
      <c r="C106" s="19" t="inlineStr">
        <is>
          <t>P0075</t>
        </is>
      </c>
      <c r="D106" s="19" t="n">
        <v>77</v>
      </c>
      <c r="E106" s="19" t="inlineStr">
        <is>
          <t>Дубль</t>
        </is>
      </c>
      <c r="F106" s="19" t="inlineStr">
        <is>
          <t>Строка полностью повторяет предыдущую</t>
        </is>
      </c>
      <c r="G106" s="21" t="inlineStr">
        <is>
          <t>Исключено</t>
        </is>
      </c>
      <c r="H106" s="19" t="inlineStr">
        <is>
          <t>Иначе поступления завышены на 12 211 055</t>
        </is>
      </c>
    </row>
    <row r="107">
      <c r="A107" s="19" t="n">
        <v>106</v>
      </c>
      <c r="B107" s="19" t="inlineStr">
        <is>
          <t>payments</t>
        </is>
      </c>
      <c r="C107" s="19" t="inlineStr">
        <is>
          <t>P0004, P0008, P0072</t>
        </is>
      </c>
      <c r="D107" s="19" t="inlineStr"/>
      <c r="E107" s="19" t="inlineStr">
        <is>
          <t>Даты</t>
        </is>
      </c>
      <c r="F107" s="19" t="inlineStr">
        <is>
          <t>Платёж в ноябре по брони с выездом в октябре</t>
        </is>
      </c>
      <c r="G107" s="19" t="inlineStr">
        <is>
          <t>Инфо</t>
        </is>
      </c>
      <c r="H107" s="19" t="inlineStr">
        <is>
          <t>В кэше за сентябрь–октябрь не видны, хотя выручка начислена; это разница метода, не ошибка</t>
        </is>
      </c>
    </row>
    <row r="108">
      <c r="A108" s="19" t="n">
        <v>107</v>
      </c>
      <c r="B108" s="19" t="inlineStr">
        <is>
          <t>payments</t>
        </is>
      </c>
      <c r="C108" s="19" t="inlineStr">
        <is>
          <t>19 платежей</t>
        </is>
      </c>
      <c r="D108" s="19" t="inlineStr"/>
      <c r="E108" s="19" t="inlineStr">
        <is>
          <t>Даты</t>
        </is>
      </c>
      <c r="F108" s="19" t="inlineStr">
        <is>
          <t>Последний updated_at в reservations — 2026-10-15, но 19 платежей со статусом received датированы позже (до 2026-11-05)</t>
        </is>
      </c>
      <c r="G108" s="22" t="inlineStr">
        <is>
          <t>Вопрос финдиректору (в расчёте)</t>
        </is>
      </c>
      <c r="H108" s="19" t="inlineStr">
        <is>
          <t>Если выгрузка от 15.10, эти «поступления» — будущие или плановые, а не факт. Нужна дата среза</t>
        </is>
      </c>
    </row>
    <row r="109">
      <c r="A109" s="19" t="n">
        <v>108</v>
      </c>
      <c r="B109" s="19" t="inlineStr">
        <is>
          <t>payments</t>
        </is>
      </c>
      <c r="C109" s="19" t="inlineStr">
        <is>
          <t>нечётные R</t>
        </is>
      </c>
      <c r="D109" s="19" t="inlineStr"/>
      <c r="E109" s="19" t="inlineStr">
        <is>
          <t>Полнота</t>
        </is>
      </c>
      <c r="F109" s="19" t="inlineStr">
        <is>
          <t>Платежи есть только для броней с чётным номером (75 из 150)</t>
        </is>
      </c>
      <c r="G109" s="22" t="inlineStr">
        <is>
          <t>Вопрос финдиректору</t>
        </is>
      </c>
      <c r="H109" s="19" t="inlineStr">
        <is>
          <t>Разница «начислено − поступило» в основном из-за неполной выгрузки, а не долга</t>
        </is>
      </c>
    </row>
    <row r="110">
      <c r="A110" s="19" t="n">
        <v>109</v>
      </c>
      <c r="B110" s="19" t="inlineStr">
        <is>
          <t>expenses</t>
        </is>
      </c>
      <c r="C110" s="19" t="inlineStr">
        <is>
          <t>E0017</t>
        </is>
      </c>
      <c r="D110" s="19" t="n">
        <v>18</v>
      </c>
      <c r="E110" s="19" t="inlineStr">
        <is>
          <t>Некорректный ID</t>
        </is>
      </c>
      <c r="F110" s="19" t="inlineStr">
        <is>
          <t>Объект V777 отсутствует в properties.csv</t>
        </is>
      </c>
      <c r="G110" s="21" t="inlineStr">
        <is>
          <t>Исключено + на проверку</t>
        </is>
      </c>
      <c r="H110" s="19" t="inlineStr">
        <is>
          <t>834 779 IDR не отнесены ни к одному собственнику</t>
        </is>
      </c>
    </row>
    <row r="111">
      <c r="A111" s="19" t="n">
        <v>110</v>
      </c>
      <c r="B111" s="19" t="inlineStr">
        <is>
          <t>expenses</t>
        </is>
      </c>
      <c r="C111" s="19" t="inlineStr">
        <is>
          <t>pending</t>
        </is>
      </c>
      <c r="D111" s="19" t="inlineStr"/>
      <c r="E111" s="19" t="inlineStr">
        <is>
          <t>Логика</t>
        </is>
      </c>
      <c r="F111" s="19" t="inlineStr">
        <is>
          <t>Часть расходов в статусе pending</t>
        </is>
      </c>
      <c r="G111" s="19" t="inlineStr">
        <is>
          <t>Инфо</t>
        </is>
      </c>
      <c r="H111" s="19" t="inlineStr">
        <is>
          <t>В начислениях учтены все, в оттоке денег только paid; показаны отдельно</t>
        </is>
      </c>
    </row>
  </sheetData>
  <autoFilter ref="A1:H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E7A9E"/>
    <outlinePr summaryBelow="1" summaryRight="1"/>
    <pageSetUpPr/>
  </sheetPr>
  <dimension ref="A1:AO1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11" customWidth="1" min="3" max="3"/>
    <col width="11" customWidth="1" min="4" max="4"/>
    <col width="10" customWidth="1" min="5" max="5"/>
    <col width="12" customWidth="1" min="6" max="6"/>
    <col width="8" customWidth="1" min="7" max="7"/>
    <col width="11" customWidth="1" min="8" max="8"/>
    <col width="11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9" customWidth="1" min="18" max="18"/>
    <col width="8" customWidth="1" min="19" max="19"/>
    <col width="8" customWidth="1" min="20" max="20"/>
    <col width="22" customWidth="1" min="21" max="21"/>
    <col width="8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3" customWidth="1" min="29" max="29"/>
    <col width="8" customWidth="1" min="30" max="30"/>
    <col width="8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8" customWidth="1" min="37" max="37"/>
    <col width="12" customWidth="1" min="38" max="38"/>
    <col width="12" customWidth="1" min="39" max="39"/>
    <col width="8" customWidth="1" min="40" max="40"/>
    <col width="8" customWidth="1" min="41" max="41"/>
  </cols>
  <sheetData>
    <row r="1" ht="30" customHeight="1">
      <c r="A1" s="13" t="inlineStr">
        <is>
          <t>reservation_id</t>
        </is>
      </c>
      <c r="B1" s="13" t="inlineStr">
        <is>
          <t>property_id</t>
        </is>
      </c>
      <c r="C1" s="13" t="inlineStr">
        <is>
          <t>check_in</t>
        </is>
      </c>
      <c r="D1" s="13" t="inlineStr">
        <is>
          <t>check_out</t>
        </is>
      </c>
      <c r="E1" s="13" t="inlineStr">
        <is>
          <t>status</t>
        </is>
      </c>
      <c r="F1" s="13" t="inlineStr">
        <is>
          <t>gross</t>
        </is>
      </c>
      <c r="G1" s="13" t="inlineStr">
        <is>
          <t>currency</t>
        </is>
      </c>
      <c r="H1" s="13" t="inlineStr">
        <is>
          <t>ota_fee</t>
        </is>
      </c>
      <c r="I1" s="13" t="inlineStr">
        <is>
          <t>refund</t>
        </is>
      </c>
      <c r="J1" s="13" t="inlineStr">
        <is>
          <t>channel</t>
        </is>
      </c>
      <c r="K1" s="13" t="inlineStr">
        <is>
          <t>nights</t>
        </is>
      </c>
      <c r="L1" s="23" t="inlineStr">
        <is>
          <t>chk: дубль ID</t>
        </is>
      </c>
      <c r="M1" s="23" t="inlineStr">
        <is>
          <t>chk: нет объекта</t>
        </is>
      </c>
      <c r="N1" s="23" t="inlineStr">
        <is>
          <t>chk: валюта</t>
        </is>
      </c>
      <c r="O1" s="23" t="inlineStr">
        <is>
          <t>chk: возврат</t>
        </is>
      </c>
      <c r="P1" s="23" t="inlineStr">
        <is>
          <t>chk: OTA&lt;0</t>
        </is>
      </c>
      <c r="Q1" s="23" t="inlineStr">
        <is>
          <t>база (не исключена)</t>
        </is>
      </c>
      <c r="R1" s="23" t="inlineStr">
        <is>
          <t>пересечений</t>
        </is>
      </c>
      <c r="S1" s="23" t="inlineStr">
        <is>
          <t>на проверке</t>
        </is>
      </c>
      <c r="T1" s="13" t="inlineStr">
        <is>
          <t>в расчёте</t>
        </is>
      </c>
      <c r="U1" s="13" t="inlineStr">
        <is>
          <t>решение</t>
        </is>
      </c>
      <c r="V1" s="13" t="inlineStr">
        <is>
          <t>ставка УК</t>
        </is>
      </c>
      <c r="W1" s="13" t="inlineStr">
        <is>
          <t>net booking</t>
        </is>
      </c>
      <c r="X1" s="13" t="inlineStr">
        <is>
          <t>OTA fee (с учётом возврата)</t>
        </is>
      </c>
      <c r="Y1" s="13" t="inlineStr">
        <is>
          <t>management fee</t>
        </is>
      </c>
      <c r="Z1" s="13" t="inlineStr">
        <is>
          <t>ожидаемая выплата</t>
        </is>
      </c>
      <c r="AA1" s="13" t="inlineStr">
        <is>
          <t>получено по брони</t>
        </is>
      </c>
      <c r="AB1" s="13" t="inlineStr">
        <is>
          <t>разница</t>
        </is>
      </c>
      <c r="AC1" s="13" t="inlineStr">
        <is>
          <t>сверка</t>
        </is>
      </c>
      <c r="AD1" s="13" t="inlineStr">
        <is>
          <t>ночей в периоде</t>
        </is>
      </c>
      <c r="AE1" s="13" t="inlineStr">
        <is>
          <t>доля в периоде</t>
        </is>
      </c>
      <c r="AF1" s="13" t="inlineStr">
        <is>
          <t>gross · период</t>
        </is>
      </c>
      <c r="AG1" s="13" t="inlineStr">
        <is>
          <t>refund · период</t>
        </is>
      </c>
      <c r="AH1" s="13" t="inlineStr">
        <is>
          <t>net · период</t>
        </is>
      </c>
      <c r="AI1" s="13" t="inlineStr">
        <is>
          <t>OTA · период</t>
        </is>
      </c>
      <c r="AJ1" s="13" t="inlineStr">
        <is>
          <t>mgmt · период</t>
        </is>
      </c>
      <c r="AK1" s="13" t="inlineStr">
        <is>
          <t>бронь в периоде</t>
        </is>
      </c>
      <c r="AL1" s="13" t="inlineStr">
        <is>
          <t>ожидалось · брони периода</t>
        </is>
      </c>
      <c r="AM1" s="13" t="inlineStr">
        <is>
          <t>получено · брони периода</t>
        </is>
      </c>
      <c r="AN1" s="13" t="inlineStr">
        <is>
          <t>ночей · период (в расчёте)</t>
        </is>
      </c>
      <c r="AO1" s="13" t="inlineStr">
        <is>
          <t>на проверке · период</t>
        </is>
      </c>
    </row>
    <row r="2">
      <c r="A2" s="9">
        <f>raw_reservations!A2</f>
        <v/>
      </c>
      <c r="B2" s="9">
        <f>raw_reservations!B2</f>
        <v/>
      </c>
      <c r="C2" s="24">
        <f>raw_reservations!C2</f>
        <v/>
      </c>
      <c r="D2" s="24">
        <f>raw_reservations!D2</f>
        <v/>
      </c>
      <c r="E2" s="9">
        <f>raw_reservations!E2</f>
        <v/>
      </c>
      <c r="F2" s="10">
        <f>raw_reservations!F2</f>
        <v/>
      </c>
      <c r="G2" s="9">
        <f>raw_reservations!G2</f>
        <v/>
      </c>
      <c r="H2" s="10">
        <f>raw_reservations!H2</f>
        <v/>
      </c>
      <c r="I2" s="10">
        <f>raw_reservations!I2</f>
        <v/>
      </c>
      <c r="J2" s="9">
        <f>raw_reservations!J2</f>
        <v/>
      </c>
      <c r="K2" s="9">
        <f>D2-C2</f>
        <v/>
      </c>
      <c r="L2" s="9">
        <f>IF(COUNTIF(A$2:A2,A2)&gt;1,1,0)</f>
        <v/>
      </c>
      <c r="M2" s="9">
        <f>IF(COUNTIF(properties!$A$2:$A$21,B2)=0,1,0)</f>
        <v/>
      </c>
      <c r="N2" s="9">
        <f>IF(M2=1,0,IF(G2&lt;&gt;INDEX(properties!$E$2:$E$21,MATCH(B2,properties!$A$2:$A$21,0)),1,0))</f>
        <v/>
      </c>
      <c r="O2" s="9">
        <f>IF(OR(I2&gt;F2,AND(E2&lt;&gt;"cancelled",I2&gt;0)),1,0)</f>
        <v/>
      </c>
      <c r="P2" s="9">
        <f>IF(H2&lt;0,1,0)</f>
        <v/>
      </c>
      <c r="Q2" s="9">
        <f>IF(L2+M2+N2+O2=0,1,0)</f>
        <v/>
      </c>
      <c r="R2" s="9">
        <f>IF(AND(Q2=1,E2&lt;&gt;"cancelled"),COUNTIFS($B$2:$B$152,B2,$Q$2:$Q$152,1,$E$2:$E$152,"&lt;&gt;cancelled",$C$2:$C$152,"&lt;"&amp;D2,$D$2:$D$152,"&gt;"&amp;C2)-1,0)</f>
        <v/>
      </c>
      <c r="S2" s="9">
        <f>IF(AND(Q2=1,OR(R2&gt;0,P2=1)),1,0)</f>
        <v/>
      </c>
      <c r="T2" s="9">
        <f>IF(Q2=0,0,IF(AND(S2=1,Dashboard!$C$7="Нет"),0,1))</f>
        <v/>
      </c>
      <c r="U2" s="9">
        <f>IF(L2=1,"Исключено: дубль",IF(M2=1,"Исключено: нет объекта",IF(N2=1,"Исключено: валюта",IF(O2=1,"Исключено: возврат/статус",IF(S2=1,"На проверке","OK")))))</f>
        <v/>
      </c>
      <c r="V2" s="25">
        <f>SUMIFS(commission_rules!$D$2:$D$21,commission_rules!$A$2:$A$21,B2,commission_rules!$B$2:$B$21,"&lt;="&amp;C2,commission_rules!$C$2:$C$21,"&gt;="&amp;C2)</f>
        <v/>
      </c>
      <c r="W2" s="10">
        <f>F2-I2</f>
        <v/>
      </c>
      <c r="X2" s="10">
        <f>IF(F2=0,0,H2*W2/F2)</f>
        <v/>
      </c>
      <c r="Y2" s="10">
        <f>V2*W2</f>
        <v/>
      </c>
      <c r="Z2" s="10">
        <f>W2-X2</f>
        <v/>
      </c>
      <c r="AA2" s="10">
        <f>SUMIFS(calc_payments!$N$2:$N$77,calc_payments!$B$2:$B$77,A2)</f>
        <v/>
      </c>
      <c r="AB2" s="10">
        <f>AA2-Z2</f>
        <v/>
      </c>
      <c r="AC2" s="9">
        <f>IF(T2=0,"",IF(AA2=0,IF(Z2=0,"нечего получать","нет платежа"),IF(ABS(AB2)&lt;1,"сходится","расхождение")))</f>
        <v/>
      </c>
      <c r="AD2" s="9">
        <f>MAX(0,MIN(D2,Dashboard!$C$6+1)-MAX(C2,Dashboard!$C$5))</f>
        <v/>
      </c>
      <c r="AE2" s="26">
        <f>IF(K2=0,0,AD2/K2)*T2</f>
        <v/>
      </c>
      <c r="AF2" s="10">
        <f>F2*AE2</f>
        <v/>
      </c>
      <c r="AG2" s="10">
        <f>I2*AE2</f>
        <v/>
      </c>
      <c r="AH2" s="10">
        <f>W2*AE2</f>
        <v/>
      </c>
      <c r="AI2" s="10">
        <f>X2*AE2</f>
        <v/>
      </c>
      <c r="AJ2" s="10">
        <f>Y2*AE2</f>
        <v/>
      </c>
      <c r="AK2" s="9">
        <f>IF(AND(T2=1,AD2&gt;0),1,0)</f>
        <v/>
      </c>
      <c r="AL2" s="10">
        <f>Z2*AK2</f>
        <v/>
      </c>
      <c r="AM2" s="10">
        <f>AA2*AK2</f>
        <v/>
      </c>
      <c r="AN2" s="9">
        <f>AD2*T2</f>
        <v/>
      </c>
      <c r="AO2" s="9">
        <f>S2*AK2</f>
        <v/>
      </c>
    </row>
    <row r="3">
      <c r="A3" s="9">
        <f>raw_reservations!A3</f>
        <v/>
      </c>
      <c r="B3" s="9">
        <f>raw_reservations!B3</f>
        <v/>
      </c>
      <c r="C3" s="24">
        <f>raw_reservations!C3</f>
        <v/>
      </c>
      <c r="D3" s="24">
        <f>raw_reservations!D3</f>
        <v/>
      </c>
      <c r="E3" s="9">
        <f>raw_reservations!E3</f>
        <v/>
      </c>
      <c r="F3" s="10">
        <f>raw_reservations!F3</f>
        <v/>
      </c>
      <c r="G3" s="9">
        <f>raw_reservations!G3</f>
        <v/>
      </c>
      <c r="H3" s="10">
        <f>raw_reservations!H3</f>
        <v/>
      </c>
      <c r="I3" s="10">
        <f>raw_reservations!I3</f>
        <v/>
      </c>
      <c r="J3" s="9">
        <f>raw_reservations!J3</f>
        <v/>
      </c>
      <c r="K3" s="9">
        <f>D3-C3</f>
        <v/>
      </c>
      <c r="L3" s="9">
        <f>IF(COUNTIF(A$2:A3,A3)&gt;1,1,0)</f>
        <v/>
      </c>
      <c r="M3" s="9">
        <f>IF(COUNTIF(properties!$A$2:$A$21,B3)=0,1,0)</f>
        <v/>
      </c>
      <c r="N3" s="9">
        <f>IF(M3=1,0,IF(G3&lt;&gt;INDEX(properties!$E$2:$E$21,MATCH(B3,properties!$A$2:$A$21,0)),1,0))</f>
        <v/>
      </c>
      <c r="O3" s="9">
        <f>IF(OR(I3&gt;F3,AND(E3&lt;&gt;"cancelled",I3&gt;0)),1,0)</f>
        <v/>
      </c>
      <c r="P3" s="9">
        <f>IF(H3&lt;0,1,0)</f>
        <v/>
      </c>
      <c r="Q3" s="9">
        <f>IF(L3+M3+N3+O3=0,1,0)</f>
        <v/>
      </c>
      <c r="R3" s="9">
        <f>IF(AND(Q3=1,E3&lt;&gt;"cancelled"),COUNTIFS($B$2:$B$152,B3,$Q$2:$Q$152,1,$E$2:$E$152,"&lt;&gt;cancelled",$C$2:$C$152,"&lt;"&amp;D3,$D$2:$D$152,"&gt;"&amp;C3)-1,0)</f>
        <v/>
      </c>
      <c r="S3" s="9">
        <f>IF(AND(Q3=1,OR(R3&gt;0,P3=1)),1,0)</f>
        <v/>
      </c>
      <c r="T3" s="9">
        <f>IF(Q3=0,0,IF(AND(S3=1,Dashboard!$C$7="Нет"),0,1))</f>
        <v/>
      </c>
      <c r="U3" s="9">
        <f>IF(L3=1,"Исключено: дубль",IF(M3=1,"Исключено: нет объекта",IF(N3=1,"Исключено: валюта",IF(O3=1,"Исключено: возврат/статус",IF(S3=1,"На проверке","OK")))))</f>
        <v/>
      </c>
      <c r="V3" s="25">
        <f>SUMIFS(commission_rules!$D$2:$D$21,commission_rules!$A$2:$A$21,B3,commission_rules!$B$2:$B$21,"&lt;="&amp;C3,commission_rules!$C$2:$C$21,"&gt;="&amp;C3)</f>
        <v/>
      </c>
      <c r="W3" s="10">
        <f>F3-I3</f>
        <v/>
      </c>
      <c r="X3" s="10">
        <f>IF(F3=0,0,H3*W3/F3)</f>
        <v/>
      </c>
      <c r="Y3" s="10">
        <f>V3*W3</f>
        <v/>
      </c>
      <c r="Z3" s="10">
        <f>W3-X3</f>
        <v/>
      </c>
      <c r="AA3" s="10">
        <f>SUMIFS(calc_payments!$N$2:$N$77,calc_payments!$B$2:$B$77,A3)</f>
        <v/>
      </c>
      <c r="AB3" s="10">
        <f>AA3-Z3</f>
        <v/>
      </c>
      <c r="AC3" s="9">
        <f>IF(T3=0,"",IF(AA3=0,IF(Z3=0,"нечего получать","нет платежа"),IF(ABS(AB3)&lt;1,"сходится","расхождение")))</f>
        <v/>
      </c>
      <c r="AD3" s="9">
        <f>MAX(0,MIN(D3,Dashboard!$C$6+1)-MAX(C3,Dashboard!$C$5))</f>
        <v/>
      </c>
      <c r="AE3" s="26">
        <f>IF(K3=0,0,AD3/K3)*T3</f>
        <v/>
      </c>
      <c r="AF3" s="10">
        <f>F3*AE3</f>
        <v/>
      </c>
      <c r="AG3" s="10">
        <f>I3*AE3</f>
        <v/>
      </c>
      <c r="AH3" s="10">
        <f>W3*AE3</f>
        <v/>
      </c>
      <c r="AI3" s="10">
        <f>X3*AE3</f>
        <v/>
      </c>
      <c r="AJ3" s="10">
        <f>Y3*AE3</f>
        <v/>
      </c>
      <c r="AK3" s="9">
        <f>IF(AND(T3=1,AD3&gt;0),1,0)</f>
        <v/>
      </c>
      <c r="AL3" s="10">
        <f>Z3*AK3</f>
        <v/>
      </c>
      <c r="AM3" s="10">
        <f>AA3*AK3</f>
        <v/>
      </c>
      <c r="AN3" s="9">
        <f>AD3*T3</f>
        <v/>
      </c>
      <c r="AO3" s="9">
        <f>S3*AK3</f>
        <v/>
      </c>
    </row>
    <row r="4">
      <c r="A4" s="9">
        <f>raw_reservations!A4</f>
        <v/>
      </c>
      <c r="B4" s="9">
        <f>raw_reservations!B4</f>
        <v/>
      </c>
      <c r="C4" s="24">
        <f>raw_reservations!C4</f>
        <v/>
      </c>
      <c r="D4" s="24">
        <f>raw_reservations!D4</f>
        <v/>
      </c>
      <c r="E4" s="9">
        <f>raw_reservations!E4</f>
        <v/>
      </c>
      <c r="F4" s="10">
        <f>raw_reservations!F4</f>
        <v/>
      </c>
      <c r="G4" s="9">
        <f>raw_reservations!G4</f>
        <v/>
      </c>
      <c r="H4" s="10">
        <f>raw_reservations!H4</f>
        <v/>
      </c>
      <c r="I4" s="10">
        <f>raw_reservations!I4</f>
        <v/>
      </c>
      <c r="J4" s="9">
        <f>raw_reservations!J4</f>
        <v/>
      </c>
      <c r="K4" s="9">
        <f>D4-C4</f>
        <v/>
      </c>
      <c r="L4" s="9">
        <f>IF(COUNTIF(A$2:A4,A4)&gt;1,1,0)</f>
        <v/>
      </c>
      <c r="M4" s="9">
        <f>IF(COUNTIF(properties!$A$2:$A$21,B4)=0,1,0)</f>
        <v/>
      </c>
      <c r="N4" s="9">
        <f>IF(M4=1,0,IF(G4&lt;&gt;INDEX(properties!$E$2:$E$21,MATCH(B4,properties!$A$2:$A$21,0)),1,0))</f>
        <v/>
      </c>
      <c r="O4" s="9">
        <f>IF(OR(I4&gt;F4,AND(E4&lt;&gt;"cancelled",I4&gt;0)),1,0)</f>
        <v/>
      </c>
      <c r="P4" s="9">
        <f>IF(H4&lt;0,1,0)</f>
        <v/>
      </c>
      <c r="Q4" s="9">
        <f>IF(L4+M4+N4+O4=0,1,0)</f>
        <v/>
      </c>
      <c r="R4" s="9">
        <f>IF(AND(Q4=1,E4&lt;&gt;"cancelled"),COUNTIFS($B$2:$B$152,B4,$Q$2:$Q$152,1,$E$2:$E$152,"&lt;&gt;cancelled",$C$2:$C$152,"&lt;"&amp;D4,$D$2:$D$152,"&gt;"&amp;C4)-1,0)</f>
        <v/>
      </c>
      <c r="S4" s="9">
        <f>IF(AND(Q4=1,OR(R4&gt;0,P4=1)),1,0)</f>
        <v/>
      </c>
      <c r="T4" s="9">
        <f>IF(Q4=0,0,IF(AND(S4=1,Dashboard!$C$7="Нет"),0,1))</f>
        <v/>
      </c>
      <c r="U4" s="9">
        <f>IF(L4=1,"Исключено: дубль",IF(M4=1,"Исключено: нет объекта",IF(N4=1,"Исключено: валюта",IF(O4=1,"Исключено: возврат/статус",IF(S4=1,"На проверке","OK")))))</f>
        <v/>
      </c>
      <c r="V4" s="25">
        <f>SUMIFS(commission_rules!$D$2:$D$21,commission_rules!$A$2:$A$21,B4,commission_rules!$B$2:$B$21,"&lt;="&amp;C4,commission_rules!$C$2:$C$21,"&gt;="&amp;C4)</f>
        <v/>
      </c>
      <c r="W4" s="10">
        <f>F4-I4</f>
        <v/>
      </c>
      <c r="X4" s="10">
        <f>IF(F4=0,0,H4*W4/F4)</f>
        <v/>
      </c>
      <c r="Y4" s="10">
        <f>V4*W4</f>
        <v/>
      </c>
      <c r="Z4" s="10">
        <f>W4-X4</f>
        <v/>
      </c>
      <c r="AA4" s="10">
        <f>SUMIFS(calc_payments!$N$2:$N$77,calc_payments!$B$2:$B$77,A4)</f>
        <v/>
      </c>
      <c r="AB4" s="10">
        <f>AA4-Z4</f>
        <v/>
      </c>
      <c r="AC4" s="9">
        <f>IF(T4=0,"",IF(AA4=0,IF(Z4=0,"нечего получать","нет платежа"),IF(ABS(AB4)&lt;1,"сходится","расхождение")))</f>
        <v/>
      </c>
      <c r="AD4" s="9">
        <f>MAX(0,MIN(D4,Dashboard!$C$6+1)-MAX(C4,Dashboard!$C$5))</f>
        <v/>
      </c>
      <c r="AE4" s="26">
        <f>IF(K4=0,0,AD4/K4)*T4</f>
        <v/>
      </c>
      <c r="AF4" s="10">
        <f>F4*AE4</f>
        <v/>
      </c>
      <c r="AG4" s="10">
        <f>I4*AE4</f>
        <v/>
      </c>
      <c r="AH4" s="10">
        <f>W4*AE4</f>
        <v/>
      </c>
      <c r="AI4" s="10">
        <f>X4*AE4</f>
        <v/>
      </c>
      <c r="AJ4" s="10">
        <f>Y4*AE4</f>
        <v/>
      </c>
      <c r="AK4" s="9">
        <f>IF(AND(T4=1,AD4&gt;0),1,0)</f>
        <v/>
      </c>
      <c r="AL4" s="10">
        <f>Z4*AK4</f>
        <v/>
      </c>
      <c r="AM4" s="10">
        <f>AA4*AK4</f>
        <v/>
      </c>
      <c r="AN4" s="9">
        <f>AD4*T4</f>
        <v/>
      </c>
      <c r="AO4" s="9">
        <f>S4*AK4</f>
        <v/>
      </c>
    </row>
    <row r="5">
      <c r="A5" s="9">
        <f>raw_reservations!A5</f>
        <v/>
      </c>
      <c r="B5" s="9">
        <f>raw_reservations!B5</f>
        <v/>
      </c>
      <c r="C5" s="24">
        <f>raw_reservations!C5</f>
        <v/>
      </c>
      <c r="D5" s="24">
        <f>raw_reservations!D5</f>
        <v/>
      </c>
      <c r="E5" s="9">
        <f>raw_reservations!E5</f>
        <v/>
      </c>
      <c r="F5" s="10">
        <f>raw_reservations!F5</f>
        <v/>
      </c>
      <c r="G5" s="9">
        <f>raw_reservations!G5</f>
        <v/>
      </c>
      <c r="H5" s="10">
        <f>raw_reservations!H5</f>
        <v/>
      </c>
      <c r="I5" s="10">
        <f>raw_reservations!I5</f>
        <v/>
      </c>
      <c r="J5" s="9">
        <f>raw_reservations!J5</f>
        <v/>
      </c>
      <c r="K5" s="9">
        <f>D5-C5</f>
        <v/>
      </c>
      <c r="L5" s="9">
        <f>IF(COUNTIF(A$2:A5,A5)&gt;1,1,0)</f>
        <v/>
      </c>
      <c r="M5" s="9">
        <f>IF(COUNTIF(properties!$A$2:$A$21,B5)=0,1,0)</f>
        <v/>
      </c>
      <c r="N5" s="9">
        <f>IF(M5=1,0,IF(G5&lt;&gt;INDEX(properties!$E$2:$E$21,MATCH(B5,properties!$A$2:$A$21,0)),1,0))</f>
        <v/>
      </c>
      <c r="O5" s="9">
        <f>IF(OR(I5&gt;F5,AND(E5&lt;&gt;"cancelled",I5&gt;0)),1,0)</f>
        <v/>
      </c>
      <c r="P5" s="9">
        <f>IF(H5&lt;0,1,0)</f>
        <v/>
      </c>
      <c r="Q5" s="9">
        <f>IF(L5+M5+N5+O5=0,1,0)</f>
        <v/>
      </c>
      <c r="R5" s="9">
        <f>IF(AND(Q5=1,E5&lt;&gt;"cancelled"),COUNTIFS($B$2:$B$152,B5,$Q$2:$Q$152,1,$E$2:$E$152,"&lt;&gt;cancelled",$C$2:$C$152,"&lt;"&amp;D5,$D$2:$D$152,"&gt;"&amp;C5)-1,0)</f>
        <v/>
      </c>
      <c r="S5" s="9">
        <f>IF(AND(Q5=1,OR(R5&gt;0,P5=1)),1,0)</f>
        <v/>
      </c>
      <c r="T5" s="9">
        <f>IF(Q5=0,0,IF(AND(S5=1,Dashboard!$C$7="Нет"),0,1))</f>
        <v/>
      </c>
      <c r="U5" s="9">
        <f>IF(L5=1,"Исключено: дубль",IF(M5=1,"Исключено: нет объекта",IF(N5=1,"Исключено: валюта",IF(O5=1,"Исключено: возврат/статус",IF(S5=1,"На проверке","OK")))))</f>
        <v/>
      </c>
      <c r="V5" s="25">
        <f>SUMIFS(commission_rules!$D$2:$D$21,commission_rules!$A$2:$A$21,B5,commission_rules!$B$2:$B$21,"&lt;="&amp;C5,commission_rules!$C$2:$C$21,"&gt;="&amp;C5)</f>
        <v/>
      </c>
      <c r="W5" s="10">
        <f>F5-I5</f>
        <v/>
      </c>
      <c r="X5" s="10">
        <f>IF(F5=0,0,H5*W5/F5)</f>
        <v/>
      </c>
      <c r="Y5" s="10">
        <f>V5*W5</f>
        <v/>
      </c>
      <c r="Z5" s="10">
        <f>W5-X5</f>
        <v/>
      </c>
      <c r="AA5" s="10">
        <f>SUMIFS(calc_payments!$N$2:$N$77,calc_payments!$B$2:$B$77,A5)</f>
        <v/>
      </c>
      <c r="AB5" s="10">
        <f>AA5-Z5</f>
        <v/>
      </c>
      <c r="AC5" s="9">
        <f>IF(T5=0,"",IF(AA5=0,IF(Z5=0,"нечего получать","нет платежа"),IF(ABS(AB5)&lt;1,"сходится","расхождение")))</f>
        <v/>
      </c>
      <c r="AD5" s="9">
        <f>MAX(0,MIN(D5,Dashboard!$C$6+1)-MAX(C5,Dashboard!$C$5))</f>
        <v/>
      </c>
      <c r="AE5" s="26">
        <f>IF(K5=0,0,AD5/K5)*T5</f>
        <v/>
      </c>
      <c r="AF5" s="10">
        <f>F5*AE5</f>
        <v/>
      </c>
      <c r="AG5" s="10">
        <f>I5*AE5</f>
        <v/>
      </c>
      <c r="AH5" s="10">
        <f>W5*AE5</f>
        <v/>
      </c>
      <c r="AI5" s="10">
        <f>X5*AE5</f>
        <v/>
      </c>
      <c r="AJ5" s="10">
        <f>Y5*AE5</f>
        <v/>
      </c>
      <c r="AK5" s="9">
        <f>IF(AND(T5=1,AD5&gt;0),1,0)</f>
        <v/>
      </c>
      <c r="AL5" s="10">
        <f>Z5*AK5</f>
        <v/>
      </c>
      <c r="AM5" s="10">
        <f>AA5*AK5</f>
        <v/>
      </c>
      <c r="AN5" s="9">
        <f>AD5*T5</f>
        <v/>
      </c>
      <c r="AO5" s="9">
        <f>S5*AK5</f>
        <v/>
      </c>
    </row>
    <row r="6">
      <c r="A6" s="9">
        <f>raw_reservations!A6</f>
        <v/>
      </c>
      <c r="B6" s="9">
        <f>raw_reservations!B6</f>
        <v/>
      </c>
      <c r="C6" s="24">
        <f>raw_reservations!C6</f>
        <v/>
      </c>
      <c r="D6" s="24">
        <f>raw_reservations!D6</f>
        <v/>
      </c>
      <c r="E6" s="9">
        <f>raw_reservations!E6</f>
        <v/>
      </c>
      <c r="F6" s="10">
        <f>raw_reservations!F6</f>
        <v/>
      </c>
      <c r="G6" s="9">
        <f>raw_reservations!G6</f>
        <v/>
      </c>
      <c r="H6" s="10">
        <f>raw_reservations!H6</f>
        <v/>
      </c>
      <c r="I6" s="10">
        <f>raw_reservations!I6</f>
        <v/>
      </c>
      <c r="J6" s="9">
        <f>raw_reservations!J6</f>
        <v/>
      </c>
      <c r="K6" s="9">
        <f>D6-C6</f>
        <v/>
      </c>
      <c r="L6" s="9">
        <f>IF(COUNTIF(A$2:A6,A6)&gt;1,1,0)</f>
        <v/>
      </c>
      <c r="M6" s="9">
        <f>IF(COUNTIF(properties!$A$2:$A$21,B6)=0,1,0)</f>
        <v/>
      </c>
      <c r="N6" s="9">
        <f>IF(M6=1,0,IF(G6&lt;&gt;INDEX(properties!$E$2:$E$21,MATCH(B6,properties!$A$2:$A$21,0)),1,0))</f>
        <v/>
      </c>
      <c r="O6" s="9">
        <f>IF(OR(I6&gt;F6,AND(E6&lt;&gt;"cancelled",I6&gt;0)),1,0)</f>
        <v/>
      </c>
      <c r="P6" s="9">
        <f>IF(H6&lt;0,1,0)</f>
        <v/>
      </c>
      <c r="Q6" s="9">
        <f>IF(L6+M6+N6+O6=0,1,0)</f>
        <v/>
      </c>
      <c r="R6" s="9">
        <f>IF(AND(Q6=1,E6&lt;&gt;"cancelled"),COUNTIFS($B$2:$B$152,B6,$Q$2:$Q$152,1,$E$2:$E$152,"&lt;&gt;cancelled",$C$2:$C$152,"&lt;"&amp;D6,$D$2:$D$152,"&gt;"&amp;C6)-1,0)</f>
        <v/>
      </c>
      <c r="S6" s="9">
        <f>IF(AND(Q6=1,OR(R6&gt;0,P6=1)),1,0)</f>
        <v/>
      </c>
      <c r="T6" s="9">
        <f>IF(Q6=0,0,IF(AND(S6=1,Dashboard!$C$7="Нет"),0,1))</f>
        <v/>
      </c>
      <c r="U6" s="9">
        <f>IF(L6=1,"Исключено: дубль",IF(M6=1,"Исключено: нет объекта",IF(N6=1,"Исключено: валюта",IF(O6=1,"Исключено: возврат/статус",IF(S6=1,"На проверке","OK")))))</f>
        <v/>
      </c>
      <c r="V6" s="25">
        <f>SUMIFS(commission_rules!$D$2:$D$21,commission_rules!$A$2:$A$21,B6,commission_rules!$B$2:$B$21,"&lt;="&amp;C6,commission_rules!$C$2:$C$21,"&gt;="&amp;C6)</f>
        <v/>
      </c>
      <c r="W6" s="10">
        <f>F6-I6</f>
        <v/>
      </c>
      <c r="X6" s="10">
        <f>IF(F6=0,0,H6*W6/F6)</f>
        <v/>
      </c>
      <c r="Y6" s="10">
        <f>V6*W6</f>
        <v/>
      </c>
      <c r="Z6" s="10">
        <f>W6-X6</f>
        <v/>
      </c>
      <c r="AA6" s="10">
        <f>SUMIFS(calc_payments!$N$2:$N$77,calc_payments!$B$2:$B$77,A6)</f>
        <v/>
      </c>
      <c r="AB6" s="10">
        <f>AA6-Z6</f>
        <v/>
      </c>
      <c r="AC6" s="9">
        <f>IF(T6=0,"",IF(AA6=0,IF(Z6=0,"нечего получать","нет платежа"),IF(ABS(AB6)&lt;1,"сходится","расхождение")))</f>
        <v/>
      </c>
      <c r="AD6" s="9">
        <f>MAX(0,MIN(D6,Dashboard!$C$6+1)-MAX(C6,Dashboard!$C$5))</f>
        <v/>
      </c>
      <c r="AE6" s="26">
        <f>IF(K6=0,0,AD6/K6)*T6</f>
        <v/>
      </c>
      <c r="AF6" s="10">
        <f>F6*AE6</f>
        <v/>
      </c>
      <c r="AG6" s="10">
        <f>I6*AE6</f>
        <v/>
      </c>
      <c r="AH6" s="10">
        <f>W6*AE6</f>
        <v/>
      </c>
      <c r="AI6" s="10">
        <f>X6*AE6</f>
        <v/>
      </c>
      <c r="AJ6" s="10">
        <f>Y6*AE6</f>
        <v/>
      </c>
      <c r="AK6" s="9">
        <f>IF(AND(T6=1,AD6&gt;0),1,0)</f>
        <v/>
      </c>
      <c r="AL6" s="10">
        <f>Z6*AK6</f>
        <v/>
      </c>
      <c r="AM6" s="10">
        <f>AA6*AK6</f>
        <v/>
      </c>
      <c r="AN6" s="9">
        <f>AD6*T6</f>
        <v/>
      </c>
      <c r="AO6" s="9">
        <f>S6*AK6</f>
        <v/>
      </c>
    </row>
    <row r="7">
      <c r="A7" s="9">
        <f>raw_reservations!A7</f>
        <v/>
      </c>
      <c r="B7" s="9">
        <f>raw_reservations!B7</f>
        <v/>
      </c>
      <c r="C7" s="24">
        <f>raw_reservations!C7</f>
        <v/>
      </c>
      <c r="D7" s="24">
        <f>raw_reservations!D7</f>
        <v/>
      </c>
      <c r="E7" s="9">
        <f>raw_reservations!E7</f>
        <v/>
      </c>
      <c r="F7" s="10">
        <f>raw_reservations!F7</f>
        <v/>
      </c>
      <c r="G7" s="9">
        <f>raw_reservations!G7</f>
        <v/>
      </c>
      <c r="H7" s="10">
        <f>raw_reservations!H7</f>
        <v/>
      </c>
      <c r="I7" s="10">
        <f>raw_reservations!I7</f>
        <v/>
      </c>
      <c r="J7" s="9">
        <f>raw_reservations!J7</f>
        <v/>
      </c>
      <c r="K7" s="9">
        <f>D7-C7</f>
        <v/>
      </c>
      <c r="L7" s="9">
        <f>IF(COUNTIF(A$2:A7,A7)&gt;1,1,0)</f>
        <v/>
      </c>
      <c r="M7" s="9">
        <f>IF(COUNTIF(properties!$A$2:$A$21,B7)=0,1,0)</f>
        <v/>
      </c>
      <c r="N7" s="9">
        <f>IF(M7=1,0,IF(G7&lt;&gt;INDEX(properties!$E$2:$E$21,MATCH(B7,properties!$A$2:$A$21,0)),1,0))</f>
        <v/>
      </c>
      <c r="O7" s="9">
        <f>IF(OR(I7&gt;F7,AND(E7&lt;&gt;"cancelled",I7&gt;0)),1,0)</f>
        <v/>
      </c>
      <c r="P7" s="9">
        <f>IF(H7&lt;0,1,0)</f>
        <v/>
      </c>
      <c r="Q7" s="9">
        <f>IF(L7+M7+N7+O7=0,1,0)</f>
        <v/>
      </c>
      <c r="R7" s="9">
        <f>IF(AND(Q7=1,E7&lt;&gt;"cancelled"),COUNTIFS($B$2:$B$152,B7,$Q$2:$Q$152,1,$E$2:$E$152,"&lt;&gt;cancelled",$C$2:$C$152,"&lt;"&amp;D7,$D$2:$D$152,"&gt;"&amp;C7)-1,0)</f>
        <v/>
      </c>
      <c r="S7" s="9">
        <f>IF(AND(Q7=1,OR(R7&gt;0,P7=1)),1,0)</f>
        <v/>
      </c>
      <c r="T7" s="9">
        <f>IF(Q7=0,0,IF(AND(S7=1,Dashboard!$C$7="Нет"),0,1))</f>
        <v/>
      </c>
      <c r="U7" s="9">
        <f>IF(L7=1,"Исключено: дубль",IF(M7=1,"Исключено: нет объекта",IF(N7=1,"Исключено: валюта",IF(O7=1,"Исключено: возврат/статус",IF(S7=1,"На проверке","OK")))))</f>
        <v/>
      </c>
      <c r="V7" s="25">
        <f>SUMIFS(commission_rules!$D$2:$D$21,commission_rules!$A$2:$A$21,B7,commission_rules!$B$2:$B$21,"&lt;="&amp;C7,commission_rules!$C$2:$C$21,"&gt;="&amp;C7)</f>
        <v/>
      </c>
      <c r="W7" s="10">
        <f>F7-I7</f>
        <v/>
      </c>
      <c r="X7" s="10">
        <f>IF(F7=0,0,H7*W7/F7)</f>
        <v/>
      </c>
      <c r="Y7" s="10">
        <f>V7*W7</f>
        <v/>
      </c>
      <c r="Z7" s="10">
        <f>W7-X7</f>
        <v/>
      </c>
      <c r="AA7" s="10">
        <f>SUMIFS(calc_payments!$N$2:$N$77,calc_payments!$B$2:$B$77,A7)</f>
        <v/>
      </c>
      <c r="AB7" s="10">
        <f>AA7-Z7</f>
        <v/>
      </c>
      <c r="AC7" s="9">
        <f>IF(T7=0,"",IF(AA7=0,IF(Z7=0,"нечего получать","нет платежа"),IF(ABS(AB7)&lt;1,"сходится","расхождение")))</f>
        <v/>
      </c>
      <c r="AD7" s="9">
        <f>MAX(0,MIN(D7,Dashboard!$C$6+1)-MAX(C7,Dashboard!$C$5))</f>
        <v/>
      </c>
      <c r="AE7" s="26">
        <f>IF(K7=0,0,AD7/K7)*T7</f>
        <v/>
      </c>
      <c r="AF7" s="10">
        <f>F7*AE7</f>
        <v/>
      </c>
      <c r="AG7" s="10">
        <f>I7*AE7</f>
        <v/>
      </c>
      <c r="AH7" s="10">
        <f>W7*AE7</f>
        <v/>
      </c>
      <c r="AI7" s="10">
        <f>X7*AE7</f>
        <v/>
      </c>
      <c r="AJ7" s="10">
        <f>Y7*AE7</f>
        <v/>
      </c>
      <c r="AK7" s="9">
        <f>IF(AND(T7=1,AD7&gt;0),1,0)</f>
        <v/>
      </c>
      <c r="AL7" s="10">
        <f>Z7*AK7</f>
        <v/>
      </c>
      <c r="AM7" s="10">
        <f>AA7*AK7</f>
        <v/>
      </c>
      <c r="AN7" s="9">
        <f>AD7*T7</f>
        <v/>
      </c>
      <c r="AO7" s="9">
        <f>S7*AK7</f>
        <v/>
      </c>
    </row>
    <row r="8">
      <c r="A8" s="9">
        <f>raw_reservations!A8</f>
        <v/>
      </c>
      <c r="B8" s="9">
        <f>raw_reservations!B8</f>
        <v/>
      </c>
      <c r="C8" s="24">
        <f>raw_reservations!C8</f>
        <v/>
      </c>
      <c r="D8" s="24">
        <f>raw_reservations!D8</f>
        <v/>
      </c>
      <c r="E8" s="9">
        <f>raw_reservations!E8</f>
        <v/>
      </c>
      <c r="F8" s="10">
        <f>raw_reservations!F8</f>
        <v/>
      </c>
      <c r="G8" s="9">
        <f>raw_reservations!G8</f>
        <v/>
      </c>
      <c r="H8" s="10">
        <f>raw_reservations!H8</f>
        <v/>
      </c>
      <c r="I8" s="10">
        <f>raw_reservations!I8</f>
        <v/>
      </c>
      <c r="J8" s="9">
        <f>raw_reservations!J8</f>
        <v/>
      </c>
      <c r="K8" s="9">
        <f>D8-C8</f>
        <v/>
      </c>
      <c r="L8" s="9">
        <f>IF(COUNTIF(A$2:A8,A8)&gt;1,1,0)</f>
        <v/>
      </c>
      <c r="M8" s="9">
        <f>IF(COUNTIF(properties!$A$2:$A$21,B8)=0,1,0)</f>
        <v/>
      </c>
      <c r="N8" s="9">
        <f>IF(M8=1,0,IF(G8&lt;&gt;INDEX(properties!$E$2:$E$21,MATCH(B8,properties!$A$2:$A$21,0)),1,0))</f>
        <v/>
      </c>
      <c r="O8" s="9">
        <f>IF(OR(I8&gt;F8,AND(E8&lt;&gt;"cancelled",I8&gt;0)),1,0)</f>
        <v/>
      </c>
      <c r="P8" s="9">
        <f>IF(H8&lt;0,1,0)</f>
        <v/>
      </c>
      <c r="Q8" s="9">
        <f>IF(L8+M8+N8+O8=0,1,0)</f>
        <v/>
      </c>
      <c r="R8" s="9">
        <f>IF(AND(Q8=1,E8&lt;&gt;"cancelled"),COUNTIFS($B$2:$B$152,B8,$Q$2:$Q$152,1,$E$2:$E$152,"&lt;&gt;cancelled",$C$2:$C$152,"&lt;"&amp;D8,$D$2:$D$152,"&gt;"&amp;C8)-1,0)</f>
        <v/>
      </c>
      <c r="S8" s="9">
        <f>IF(AND(Q8=1,OR(R8&gt;0,P8=1)),1,0)</f>
        <v/>
      </c>
      <c r="T8" s="9">
        <f>IF(Q8=0,0,IF(AND(S8=1,Dashboard!$C$7="Нет"),0,1))</f>
        <v/>
      </c>
      <c r="U8" s="9">
        <f>IF(L8=1,"Исключено: дубль",IF(M8=1,"Исключено: нет объекта",IF(N8=1,"Исключено: валюта",IF(O8=1,"Исключено: возврат/статус",IF(S8=1,"На проверке","OK")))))</f>
        <v/>
      </c>
      <c r="V8" s="25">
        <f>SUMIFS(commission_rules!$D$2:$D$21,commission_rules!$A$2:$A$21,B8,commission_rules!$B$2:$B$21,"&lt;="&amp;C8,commission_rules!$C$2:$C$21,"&gt;="&amp;C8)</f>
        <v/>
      </c>
      <c r="W8" s="10">
        <f>F8-I8</f>
        <v/>
      </c>
      <c r="X8" s="10">
        <f>IF(F8=0,0,H8*W8/F8)</f>
        <v/>
      </c>
      <c r="Y8" s="10">
        <f>V8*W8</f>
        <v/>
      </c>
      <c r="Z8" s="10">
        <f>W8-X8</f>
        <v/>
      </c>
      <c r="AA8" s="10">
        <f>SUMIFS(calc_payments!$N$2:$N$77,calc_payments!$B$2:$B$77,A8)</f>
        <v/>
      </c>
      <c r="AB8" s="10">
        <f>AA8-Z8</f>
        <v/>
      </c>
      <c r="AC8" s="9">
        <f>IF(T8=0,"",IF(AA8=0,IF(Z8=0,"нечего получать","нет платежа"),IF(ABS(AB8)&lt;1,"сходится","расхождение")))</f>
        <v/>
      </c>
      <c r="AD8" s="9">
        <f>MAX(0,MIN(D8,Dashboard!$C$6+1)-MAX(C8,Dashboard!$C$5))</f>
        <v/>
      </c>
      <c r="AE8" s="26">
        <f>IF(K8=0,0,AD8/K8)*T8</f>
        <v/>
      </c>
      <c r="AF8" s="10">
        <f>F8*AE8</f>
        <v/>
      </c>
      <c r="AG8" s="10">
        <f>I8*AE8</f>
        <v/>
      </c>
      <c r="AH8" s="10">
        <f>W8*AE8</f>
        <v/>
      </c>
      <c r="AI8" s="10">
        <f>X8*AE8</f>
        <v/>
      </c>
      <c r="AJ8" s="10">
        <f>Y8*AE8</f>
        <v/>
      </c>
      <c r="AK8" s="9">
        <f>IF(AND(T8=1,AD8&gt;0),1,0)</f>
        <v/>
      </c>
      <c r="AL8" s="10">
        <f>Z8*AK8</f>
        <v/>
      </c>
      <c r="AM8" s="10">
        <f>AA8*AK8</f>
        <v/>
      </c>
      <c r="AN8" s="9">
        <f>AD8*T8</f>
        <v/>
      </c>
      <c r="AO8" s="9">
        <f>S8*AK8</f>
        <v/>
      </c>
    </row>
    <row r="9">
      <c r="A9" s="9">
        <f>raw_reservations!A9</f>
        <v/>
      </c>
      <c r="B9" s="9">
        <f>raw_reservations!B9</f>
        <v/>
      </c>
      <c r="C9" s="24">
        <f>raw_reservations!C9</f>
        <v/>
      </c>
      <c r="D9" s="24">
        <f>raw_reservations!D9</f>
        <v/>
      </c>
      <c r="E9" s="9">
        <f>raw_reservations!E9</f>
        <v/>
      </c>
      <c r="F9" s="10">
        <f>raw_reservations!F9</f>
        <v/>
      </c>
      <c r="G9" s="9">
        <f>raw_reservations!G9</f>
        <v/>
      </c>
      <c r="H9" s="10">
        <f>raw_reservations!H9</f>
        <v/>
      </c>
      <c r="I9" s="10">
        <f>raw_reservations!I9</f>
        <v/>
      </c>
      <c r="J9" s="9">
        <f>raw_reservations!J9</f>
        <v/>
      </c>
      <c r="K9" s="9">
        <f>D9-C9</f>
        <v/>
      </c>
      <c r="L9" s="9">
        <f>IF(COUNTIF(A$2:A9,A9)&gt;1,1,0)</f>
        <v/>
      </c>
      <c r="M9" s="9">
        <f>IF(COUNTIF(properties!$A$2:$A$21,B9)=0,1,0)</f>
        <v/>
      </c>
      <c r="N9" s="9">
        <f>IF(M9=1,0,IF(G9&lt;&gt;INDEX(properties!$E$2:$E$21,MATCH(B9,properties!$A$2:$A$21,0)),1,0))</f>
        <v/>
      </c>
      <c r="O9" s="9">
        <f>IF(OR(I9&gt;F9,AND(E9&lt;&gt;"cancelled",I9&gt;0)),1,0)</f>
        <v/>
      </c>
      <c r="P9" s="9">
        <f>IF(H9&lt;0,1,0)</f>
        <v/>
      </c>
      <c r="Q9" s="9">
        <f>IF(L9+M9+N9+O9=0,1,0)</f>
        <v/>
      </c>
      <c r="R9" s="9">
        <f>IF(AND(Q9=1,E9&lt;&gt;"cancelled"),COUNTIFS($B$2:$B$152,B9,$Q$2:$Q$152,1,$E$2:$E$152,"&lt;&gt;cancelled",$C$2:$C$152,"&lt;"&amp;D9,$D$2:$D$152,"&gt;"&amp;C9)-1,0)</f>
        <v/>
      </c>
      <c r="S9" s="9">
        <f>IF(AND(Q9=1,OR(R9&gt;0,P9=1)),1,0)</f>
        <v/>
      </c>
      <c r="T9" s="9">
        <f>IF(Q9=0,0,IF(AND(S9=1,Dashboard!$C$7="Нет"),0,1))</f>
        <v/>
      </c>
      <c r="U9" s="9">
        <f>IF(L9=1,"Исключено: дубль",IF(M9=1,"Исключено: нет объекта",IF(N9=1,"Исключено: валюта",IF(O9=1,"Исключено: возврат/статус",IF(S9=1,"На проверке","OK")))))</f>
        <v/>
      </c>
      <c r="V9" s="25">
        <f>SUMIFS(commission_rules!$D$2:$D$21,commission_rules!$A$2:$A$21,B9,commission_rules!$B$2:$B$21,"&lt;="&amp;C9,commission_rules!$C$2:$C$21,"&gt;="&amp;C9)</f>
        <v/>
      </c>
      <c r="W9" s="10">
        <f>F9-I9</f>
        <v/>
      </c>
      <c r="X9" s="10">
        <f>IF(F9=0,0,H9*W9/F9)</f>
        <v/>
      </c>
      <c r="Y9" s="10">
        <f>V9*W9</f>
        <v/>
      </c>
      <c r="Z9" s="10">
        <f>W9-X9</f>
        <v/>
      </c>
      <c r="AA9" s="10">
        <f>SUMIFS(calc_payments!$N$2:$N$77,calc_payments!$B$2:$B$77,A9)</f>
        <v/>
      </c>
      <c r="AB9" s="10">
        <f>AA9-Z9</f>
        <v/>
      </c>
      <c r="AC9" s="9">
        <f>IF(T9=0,"",IF(AA9=0,IF(Z9=0,"нечего получать","нет платежа"),IF(ABS(AB9)&lt;1,"сходится","расхождение")))</f>
        <v/>
      </c>
      <c r="AD9" s="9">
        <f>MAX(0,MIN(D9,Dashboard!$C$6+1)-MAX(C9,Dashboard!$C$5))</f>
        <v/>
      </c>
      <c r="AE9" s="26">
        <f>IF(K9=0,0,AD9/K9)*T9</f>
        <v/>
      </c>
      <c r="AF9" s="10">
        <f>F9*AE9</f>
        <v/>
      </c>
      <c r="AG9" s="10">
        <f>I9*AE9</f>
        <v/>
      </c>
      <c r="AH9" s="10">
        <f>W9*AE9</f>
        <v/>
      </c>
      <c r="AI9" s="10">
        <f>X9*AE9</f>
        <v/>
      </c>
      <c r="AJ9" s="10">
        <f>Y9*AE9</f>
        <v/>
      </c>
      <c r="AK9" s="9">
        <f>IF(AND(T9=1,AD9&gt;0),1,0)</f>
        <v/>
      </c>
      <c r="AL9" s="10">
        <f>Z9*AK9</f>
        <v/>
      </c>
      <c r="AM9" s="10">
        <f>AA9*AK9</f>
        <v/>
      </c>
      <c r="AN9" s="9">
        <f>AD9*T9</f>
        <v/>
      </c>
      <c r="AO9" s="9">
        <f>S9*AK9</f>
        <v/>
      </c>
    </row>
    <row r="10">
      <c r="A10" s="9">
        <f>raw_reservations!A10</f>
        <v/>
      </c>
      <c r="B10" s="9">
        <f>raw_reservations!B10</f>
        <v/>
      </c>
      <c r="C10" s="24">
        <f>raw_reservations!C10</f>
        <v/>
      </c>
      <c r="D10" s="24">
        <f>raw_reservations!D10</f>
        <v/>
      </c>
      <c r="E10" s="9">
        <f>raw_reservations!E10</f>
        <v/>
      </c>
      <c r="F10" s="10">
        <f>raw_reservations!F10</f>
        <v/>
      </c>
      <c r="G10" s="9">
        <f>raw_reservations!G10</f>
        <v/>
      </c>
      <c r="H10" s="10">
        <f>raw_reservations!H10</f>
        <v/>
      </c>
      <c r="I10" s="10">
        <f>raw_reservations!I10</f>
        <v/>
      </c>
      <c r="J10" s="9">
        <f>raw_reservations!J10</f>
        <v/>
      </c>
      <c r="K10" s="9">
        <f>D10-C10</f>
        <v/>
      </c>
      <c r="L10" s="9">
        <f>IF(COUNTIF(A$2:A10,A10)&gt;1,1,0)</f>
        <v/>
      </c>
      <c r="M10" s="9">
        <f>IF(COUNTIF(properties!$A$2:$A$21,B10)=0,1,0)</f>
        <v/>
      </c>
      <c r="N10" s="9">
        <f>IF(M10=1,0,IF(G10&lt;&gt;INDEX(properties!$E$2:$E$21,MATCH(B10,properties!$A$2:$A$21,0)),1,0))</f>
        <v/>
      </c>
      <c r="O10" s="9">
        <f>IF(OR(I10&gt;F10,AND(E10&lt;&gt;"cancelled",I10&gt;0)),1,0)</f>
        <v/>
      </c>
      <c r="P10" s="9">
        <f>IF(H10&lt;0,1,0)</f>
        <v/>
      </c>
      <c r="Q10" s="9">
        <f>IF(L10+M10+N10+O10=0,1,0)</f>
        <v/>
      </c>
      <c r="R10" s="9">
        <f>IF(AND(Q10=1,E10&lt;&gt;"cancelled"),COUNTIFS($B$2:$B$152,B10,$Q$2:$Q$152,1,$E$2:$E$152,"&lt;&gt;cancelled",$C$2:$C$152,"&lt;"&amp;D10,$D$2:$D$152,"&gt;"&amp;C10)-1,0)</f>
        <v/>
      </c>
      <c r="S10" s="9">
        <f>IF(AND(Q10=1,OR(R10&gt;0,P10=1)),1,0)</f>
        <v/>
      </c>
      <c r="T10" s="9">
        <f>IF(Q10=0,0,IF(AND(S10=1,Dashboard!$C$7="Нет"),0,1))</f>
        <v/>
      </c>
      <c r="U10" s="9">
        <f>IF(L10=1,"Исключено: дубль",IF(M10=1,"Исключено: нет объекта",IF(N10=1,"Исключено: валюта",IF(O10=1,"Исключено: возврат/статус",IF(S10=1,"На проверке","OK")))))</f>
        <v/>
      </c>
      <c r="V10" s="25">
        <f>SUMIFS(commission_rules!$D$2:$D$21,commission_rules!$A$2:$A$21,B10,commission_rules!$B$2:$B$21,"&lt;="&amp;C10,commission_rules!$C$2:$C$21,"&gt;="&amp;C10)</f>
        <v/>
      </c>
      <c r="W10" s="10">
        <f>F10-I10</f>
        <v/>
      </c>
      <c r="X10" s="10">
        <f>IF(F10=0,0,H10*W10/F10)</f>
        <v/>
      </c>
      <c r="Y10" s="10">
        <f>V10*W10</f>
        <v/>
      </c>
      <c r="Z10" s="10">
        <f>W10-X10</f>
        <v/>
      </c>
      <c r="AA10" s="10">
        <f>SUMIFS(calc_payments!$N$2:$N$77,calc_payments!$B$2:$B$77,A10)</f>
        <v/>
      </c>
      <c r="AB10" s="10">
        <f>AA10-Z10</f>
        <v/>
      </c>
      <c r="AC10" s="9">
        <f>IF(T10=0,"",IF(AA10=0,IF(Z10=0,"нечего получать","нет платежа"),IF(ABS(AB10)&lt;1,"сходится","расхождение")))</f>
        <v/>
      </c>
      <c r="AD10" s="9">
        <f>MAX(0,MIN(D10,Dashboard!$C$6+1)-MAX(C10,Dashboard!$C$5))</f>
        <v/>
      </c>
      <c r="AE10" s="26">
        <f>IF(K10=0,0,AD10/K10)*T10</f>
        <v/>
      </c>
      <c r="AF10" s="10">
        <f>F10*AE10</f>
        <v/>
      </c>
      <c r="AG10" s="10">
        <f>I10*AE10</f>
        <v/>
      </c>
      <c r="AH10" s="10">
        <f>W10*AE10</f>
        <v/>
      </c>
      <c r="AI10" s="10">
        <f>X10*AE10</f>
        <v/>
      </c>
      <c r="AJ10" s="10">
        <f>Y10*AE10</f>
        <v/>
      </c>
      <c r="AK10" s="9">
        <f>IF(AND(T10=1,AD10&gt;0),1,0)</f>
        <v/>
      </c>
      <c r="AL10" s="10">
        <f>Z10*AK10</f>
        <v/>
      </c>
      <c r="AM10" s="10">
        <f>AA10*AK10</f>
        <v/>
      </c>
      <c r="AN10" s="9">
        <f>AD10*T10</f>
        <v/>
      </c>
      <c r="AO10" s="9">
        <f>S10*AK10</f>
        <v/>
      </c>
    </row>
    <row r="11">
      <c r="A11" s="9">
        <f>raw_reservations!A11</f>
        <v/>
      </c>
      <c r="B11" s="9">
        <f>raw_reservations!B11</f>
        <v/>
      </c>
      <c r="C11" s="24">
        <f>raw_reservations!C11</f>
        <v/>
      </c>
      <c r="D11" s="24">
        <f>raw_reservations!D11</f>
        <v/>
      </c>
      <c r="E11" s="9">
        <f>raw_reservations!E11</f>
        <v/>
      </c>
      <c r="F11" s="10">
        <f>raw_reservations!F11</f>
        <v/>
      </c>
      <c r="G11" s="9">
        <f>raw_reservations!G11</f>
        <v/>
      </c>
      <c r="H11" s="10">
        <f>raw_reservations!H11</f>
        <v/>
      </c>
      <c r="I11" s="10">
        <f>raw_reservations!I11</f>
        <v/>
      </c>
      <c r="J11" s="9">
        <f>raw_reservations!J11</f>
        <v/>
      </c>
      <c r="K11" s="9">
        <f>D11-C11</f>
        <v/>
      </c>
      <c r="L11" s="9">
        <f>IF(COUNTIF(A$2:A11,A11)&gt;1,1,0)</f>
        <v/>
      </c>
      <c r="M11" s="9">
        <f>IF(COUNTIF(properties!$A$2:$A$21,B11)=0,1,0)</f>
        <v/>
      </c>
      <c r="N11" s="9">
        <f>IF(M11=1,0,IF(G11&lt;&gt;INDEX(properties!$E$2:$E$21,MATCH(B11,properties!$A$2:$A$21,0)),1,0))</f>
        <v/>
      </c>
      <c r="O11" s="9">
        <f>IF(OR(I11&gt;F11,AND(E11&lt;&gt;"cancelled",I11&gt;0)),1,0)</f>
        <v/>
      </c>
      <c r="P11" s="9">
        <f>IF(H11&lt;0,1,0)</f>
        <v/>
      </c>
      <c r="Q11" s="9">
        <f>IF(L11+M11+N11+O11=0,1,0)</f>
        <v/>
      </c>
      <c r="R11" s="9">
        <f>IF(AND(Q11=1,E11&lt;&gt;"cancelled"),COUNTIFS($B$2:$B$152,B11,$Q$2:$Q$152,1,$E$2:$E$152,"&lt;&gt;cancelled",$C$2:$C$152,"&lt;"&amp;D11,$D$2:$D$152,"&gt;"&amp;C11)-1,0)</f>
        <v/>
      </c>
      <c r="S11" s="9">
        <f>IF(AND(Q11=1,OR(R11&gt;0,P11=1)),1,0)</f>
        <v/>
      </c>
      <c r="T11" s="9">
        <f>IF(Q11=0,0,IF(AND(S11=1,Dashboard!$C$7="Нет"),0,1))</f>
        <v/>
      </c>
      <c r="U11" s="9">
        <f>IF(L11=1,"Исключено: дубль",IF(M11=1,"Исключено: нет объекта",IF(N11=1,"Исключено: валюта",IF(O11=1,"Исключено: возврат/статус",IF(S11=1,"На проверке","OK")))))</f>
        <v/>
      </c>
      <c r="V11" s="25">
        <f>SUMIFS(commission_rules!$D$2:$D$21,commission_rules!$A$2:$A$21,B11,commission_rules!$B$2:$B$21,"&lt;="&amp;C11,commission_rules!$C$2:$C$21,"&gt;="&amp;C11)</f>
        <v/>
      </c>
      <c r="W11" s="10">
        <f>F11-I11</f>
        <v/>
      </c>
      <c r="X11" s="10">
        <f>IF(F11=0,0,H11*W11/F11)</f>
        <v/>
      </c>
      <c r="Y11" s="10">
        <f>V11*W11</f>
        <v/>
      </c>
      <c r="Z11" s="10">
        <f>W11-X11</f>
        <v/>
      </c>
      <c r="AA11" s="10">
        <f>SUMIFS(calc_payments!$N$2:$N$77,calc_payments!$B$2:$B$77,A11)</f>
        <v/>
      </c>
      <c r="AB11" s="10">
        <f>AA11-Z11</f>
        <v/>
      </c>
      <c r="AC11" s="9">
        <f>IF(T11=0,"",IF(AA11=0,IF(Z11=0,"нечего получать","нет платежа"),IF(ABS(AB11)&lt;1,"сходится","расхождение")))</f>
        <v/>
      </c>
      <c r="AD11" s="9">
        <f>MAX(0,MIN(D11,Dashboard!$C$6+1)-MAX(C11,Dashboard!$C$5))</f>
        <v/>
      </c>
      <c r="AE11" s="26">
        <f>IF(K11=0,0,AD11/K11)*T11</f>
        <v/>
      </c>
      <c r="AF11" s="10">
        <f>F11*AE11</f>
        <v/>
      </c>
      <c r="AG11" s="10">
        <f>I11*AE11</f>
        <v/>
      </c>
      <c r="AH11" s="10">
        <f>W11*AE11</f>
        <v/>
      </c>
      <c r="AI11" s="10">
        <f>X11*AE11</f>
        <v/>
      </c>
      <c r="AJ11" s="10">
        <f>Y11*AE11</f>
        <v/>
      </c>
      <c r="AK11" s="9">
        <f>IF(AND(T11=1,AD11&gt;0),1,0)</f>
        <v/>
      </c>
      <c r="AL11" s="10">
        <f>Z11*AK11</f>
        <v/>
      </c>
      <c r="AM11" s="10">
        <f>AA11*AK11</f>
        <v/>
      </c>
      <c r="AN11" s="9">
        <f>AD11*T11</f>
        <v/>
      </c>
      <c r="AO11" s="9">
        <f>S11*AK11</f>
        <v/>
      </c>
    </row>
    <row r="12">
      <c r="A12" s="9">
        <f>raw_reservations!A12</f>
        <v/>
      </c>
      <c r="B12" s="9">
        <f>raw_reservations!B12</f>
        <v/>
      </c>
      <c r="C12" s="24">
        <f>raw_reservations!C12</f>
        <v/>
      </c>
      <c r="D12" s="24">
        <f>raw_reservations!D12</f>
        <v/>
      </c>
      <c r="E12" s="9">
        <f>raw_reservations!E12</f>
        <v/>
      </c>
      <c r="F12" s="10">
        <f>raw_reservations!F12</f>
        <v/>
      </c>
      <c r="G12" s="9">
        <f>raw_reservations!G12</f>
        <v/>
      </c>
      <c r="H12" s="10">
        <f>raw_reservations!H12</f>
        <v/>
      </c>
      <c r="I12" s="10">
        <f>raw_reservations!I12</f>
        <v/>
      </c>
      <c r="J12" s="9">
        <f>raw_reservations!J12</f>
        <v/>
      </c>
      <c r="K12" s="9">
        <f>D12-C12</f>
        <v/>
      </c>
      <c r="L12" s="9">
        <f>IF(COUNTIF(A$2:A12,A12)&gt;1,1,0)</f>
        <v/>
      </c>
      <c r="M12" s="9">
        <f>IF(COUNTIF(properties!$A$2:$A$21,B12)=0,1,0)</f>
        <v/>
      </c>
      <c r="N12" s="9">
        <f>IF(M12=1,0,IF(G12&lt;&gt;INDEX(properties!$E$2:$E$21,MATCH(B12,properties!$A$2:$A$21,0)),1,0))</f>
        <v/>
      </c>
      <c r="O12" s="9">
        <f>IF(OR(I12&gt;F12,AND(E12&lt;&gt;"cancelled",I12&gt;0)),1,0)</f>
        <v/>
      </c>
      <c r="P12" s="9">
        <f>IF(H12&lt;0,1,0)</f>
        <v/>
      </c>
      <c r="Q12" s="9">
        <f>IF(L12+M12+N12+O12=0,1,0)</f>
        <v/>
      </c>
      <c r="R12" s="9">
        <f>IF(AND(Q12=1,E12&lt;&gt;"cancelled"),COUNTIFS($B$2:$B$152,B12,$Q$2:$Q$152,1,$E$2:$E$152,"&lt;&gt;cancelled",$C$2:$C$152,"&lt;"&amp;D12,$D$2:$D$152,"&gt;"&amp;C12)-1,0)</f>
        <v/>
      </c>
      <c r="S12" s="9">
        <f>IF(AND(Q12=1,OR(R12&gt;0,P12=1)),1,0)</f>
        <v/>
      </c>
      <c r="T12" s="9">
        <f>IF(Q12=0,0,IF(AND(S12=1,Dashboard!$C$7="Нет"),0,1))</f>
        <v/>
      </c>
      <c r="U12" s="9">
        <f>IF(L12=1,"Исключено: дубль",IF(M12=1,"Исключено: нет объекта",IF(N12=1,"Исключено: валюта",IF(O12=1,"Исключено: возврат/статус",IF(S12=1,"На проверке","OK")))))</f>
        <v/>
      </c>
      <c r="V12" s="25">
        <f>SUMIFS(commission_rules!$D$2:$D$21,commission_rules!$A$2:$A$21,B12,commission_rules!$B$2:$B$21,"&lt;="&amp;C12,commission_rules!$C$2:$C$21,"&gt;="&amp;C12)</f>
        <v/>
      </c>
      <c r="W12" s="10">
        <f>F12-I12</f>
        <v/>
      </c>
      <c r="X12" s="10">
        <f>IF(F12=0,0,H12*W12/F12)</f>
        <v/>
      </c>
      <c r="Y12" s="10">
        <f>V12*W12</f>
        <v/>
      </c>
      <c r="Z12" s="10">
        <f>W12-X12</f>
        <v/>
      </c>
      <c r="AA12" s="10">
        <f>SUMIFS(calc_payments!$N$2:$N$77,calc_payments!$B$2:$B$77,A12)</f>
        <v/>
      </c>
      <c r="AB12" s="10">
        <f>AA12-Z12</f>
        <v/>
      </c>
      <c r="AC12" s="9">
        <f>IF(T12=0,"",IF(AA12=0,IF(Z12=0,"нечего получать","нет платежа"),IF(ABS(AB12)&lt;1,"сходится","расхождение")))</f>
        <v/>
      </c>
      <c r="AD12" s="9">
        <f>MAX(0,MIN(D12,Dashboard!$C$6+1)-MAX(C12,Dashboard!$C$5))</f>
        <v/>
      </c>
      <c r="AE12" s="26">
        <f>IF(K12=0,0,AD12/K12)*T12</f>
        <v/>
      </c>
      <c r="AF12" s="10">
        <f>F12*AE12</f>
        <v/>
      </c>
      <c r="AG12" s="10">
        <f>I12*AE12</f>
        <v/>
      </c>
      <c r="AH12" s="10">
        <f>W12*AE12</f>
        <v/>
      </c>
      <c r="AI12" s="10">
        <f>X12*AE12</f>
        <v/>
      </c>
      <c r="AJ12" s="10">
        <f>Y12*AE12</f>
        <v/>
      </c>
      <c r="AK12" s="9">
        <f>IF(AND(T12=1,AD12&gt;0),1,0)</f>
        <v/>
      </c>
      <c r="AL12" s="10">
        <f>Z12*AK12</f>
        <v/>
      </c>
      <c r="AM12" s="10">
        <f>AA12*AK12</f>
        <v/>
      </c>
      <c r="AN12" s="9">
        <f>AD12*T12</f>
        <v/>
      </c>
      <c r="AO12" s="9">
        <f>S12*AK12</f>
        <v/>
      </c>
    </row>
    <row r="13">
      <c r="A13" s="9">
        <f>raw_reservations!A13</f>
        <v/>
      </c>
      <c r="B13" s="9">
        <f>raw_reservations!B13</f>
        <v/>
      </c>
      <c r="C13" s="24">
        <f>raw_reservations!C13</f>
        <v/>
      </c>
      <c r="D13" s="24">
        <f>raw_reservations!D13</f>
        <v/>
      </c>
      <c r="E13" s="9">
        <f>raw_reservations!E13</f>
        <v/>
      </c>
      <c r="F13" s="10">
        <f>raw_reservations!F13</f>
        <v/>
      </c>
      <c r="G13" s="9">
        <f>raw_reservations!G13</f>
        <v/>
      </c>
      <c r="H13" s="10">
        <f>raw_reservations!H13</f>
        <v/>
      </c>
      <c r="I13" s="10">
        <f>raw_reservations!I13</f>
        <v/>
      </c>
      <c r="J13" s="9">
        <f>raw_reservations!J13</f>
        <v/>
      </c>
      <c r="K13" s="9">
        <f>D13-C13</f>
        <v/>
      </c>
      <c r="L13" s="9">
        <f>IF(COUNTIF(A$2:A13,A13)&gt;1,1,0)</f>
        <v/>
      </c>
      <c r="M13" s="9">
        <f>IF(COUNTIF(properties!$A$2:$A$21,B13)=0,1,0)</f>
        <v/>
      </c>
      <c r="N13" s="9">
        <f>IF(M13=1,0,IF(G13&lt;&gt;INDEX(properties!$E$2:$E$21,MATCH(B13,properties!$A$2:$A$21,0)),1,0))</f>
        <v/>
      </c>
      <c r="O13" s="9">
        <f>IF(OR(I13&gt;F13,AND(E13&lt;&gt;"cancelled",I13&gt;0)),1,0)</f>
        <v/>
      </c>
      <c r="P13" s="9">
        <f>IF(H13&lt;0,1,0)</f>
        <v/>
      </c>
      <c r="Q13" s="9">
        <f>IF(L13+M13+N13+O13=0,1,0)</f>
        <v/>
      </c>
      <c r="R13" s="9">
        <f>IF(AND(Q13=1,E13&lt;&gt;"cancelled"),COUNTIFS($B$2:$B$152,B13,$Q$2:$Q$152,1,$E$2:$E$152,"&lt;&gt;cancelled",$C$2:$C$152,"&lt;"&amp;D13,$D$2:$D$152,"&gt;"&amp;C13)-1,0)</f>
        <v/>
      </c>
      <c r="S13" s="9">
        <f>IF(AND(Q13=1,OR(R13&gt;0,P13=1)),1,0)</f>
        <v/>
      </c>
      <c r="T13" s="9">
        <f>IF(Q13=0,0,IF(AND(S13=1,Dashboard!$C$7="Нет"),0,1))</f>
        <v/>
      </c>
      <c r="U13" s="9">
        <f>IF(L13=1,"Исключено: дубль",IF(M13=1,"Исключено: нет объекта",IF(N13=1,"Исключено: валюта",IF(O13=1,"Исключено: возврат/статус",IF(S13=1,"На проверке","OK")))))</f>
        <v/>
      </c>
      <c r="V13" s="25">
        <f>SUMIFS(commission_rules!$D$2:$D$21,commission_rules!$A$2:$A$21,B13,commission_rules!$B$2:$B$21,"&lt;="&amp;C13,commission_rules!$C$2:$C$21,"&gt;="&amp;C13)</f>
        <v/>
      </c>
      <c r="W13" s="10">
        <f>F13-I13</f>
        <v/>
      </c>
      <c r="X13" s="10">
        <f>IF(F13=0,0,H13*W13/F13)</f>
        <v/>
      </c>
      <c r="Y13" s="10">
        <f>V13*W13</f>
        <v/>
      </c>
      <c r="Z13" s="10">
        <f>W13-X13</f>
        <v/>
      </c>
      <c r="AA13" s="10">
        <f>SUMIFS(calc_payments!$N$2:$N$77,calc_payments!$B$2:$B$77,A13)</f>
        <v/>
      </c>
      <c r="AB13" s="10">
        <f>AA13-Z13</f>
        <v/>
      </c>
      <c r="AC13" s="9">
        <f>IF(T13=0,"",IF(AA13=0,IF(Z13=0,"нечего получать","нет платежа"),IF(ABS(AB13)&lt;1,"сходится","расхождение")))</f>
        <v/>
      </c>
      <c r="AD13" s="9">
        <f>MAX(0,MIN(D13,Dashboard!$C$6+1)-MAX(C13,Dashboard!$C$5))</f>
        <v/>
      </c>
      <c r="AE13" s="26">
        <f>IF(K13=0,0,AD13/K13)*T13</f>
        <v/>
      </c>
      <c r="AF13" s="10">
        <f>F13*AE13</f>
        <v/>
      </c>
      <c r="AG13" s="10">
        <f>I13*AE13</f>
        <v/>
      </c>
      <c r="AH13" s="10">
        <f>W13*AE13</f>
        <v/>
      </c>
      <c r="AI13" s="10">
        <f>X13*AE13</f>
        <v/>
      </c>
      <c r="AJ13" s="10">
        <f>Y13*AE13</f>
        <v/>
      </c>
      <c r="AK13" s="9">
        <f>IF(AND(T13=1,AD13&gt;0),1,0)</f>
        <v/>
      </c>
      <c r="AL13" s="10">
        <f>Z13*AK13</f>
        <v/>
      </c>
      <c r="AM13" s="10">
        <f>AA13*AK13</f>
        <v/>
      </c>
      <c r="AN13" s="9">
        <f>AD13*T13</f>
        <v/>
      </c>
      <c r="AO13" s="9">
        <f>S13*AK13</f>
        <v/>
      </c>
    </row>
    <row r="14">
      <c r="A14" s="9">
        <f>raw_reservations!A14</f>
        <v/>
      </c>
      <c r="B14" s="9">
        <f>raw_reservations!B14</f>
        <v/>
      </c>
      <c r="C14" s="24">
        <f>raw_reservations!C14</f>
        <v/>
      </c>
      <c r="D14" s="24">
        <f>raw_reservations!D14</f>
        <v/>
      </c>
      <c r="E14" s="9">
        <f>raw_reservations!E14</f>
        <v/>
      </c>
      <c r="F14" s="10">
        <f>raw_reservations!F14</f>
        <v/>
      </c>
      <c r="G14" s="9">
        <f>raw_reservations!G14</f>
        <v/>
      </c>
      <c r="H14" s="10">
        <f>raw_reservations!H14</f>
        <v/>
      </c>
      <c r="I14" s="10">
        <f>raw_reservations!I14</f>
        <v/>
      </c>
      <c r="J14" s="9">
        <f>raw_reservations!J14</f>
        <v/>
      </c>
      <c r="K14" s="9">
        <f>D14-C14</f>
        <v/>
      </c>
      <c r="L14" s="9">
        <f>IF(COUNTIF(A$2:A14,A14)&gt;1,1,0)</f>
        <v/>
      </c>
      <c r="M14" s="9">
        <f>IF(COUNTIF(properties!$A$2:$A$21,B14)=0,1,0)</f>
        <v/>
      </c>
      <c r="N14" s="9">
        <f>IF(M14=1,0,IF(G14&lt;&gt;INDEX(properties!$E$2:$E$21,MATCH(B14,properties!$A$2:$A$21,0)),1,0))</f>
        <v/>
      </c>
      <c r="O14" s="9">
        <f>IF(OR(I14&gt;F14,AND(E14&lt;&gt;"cancelled",I14&gt;0)),1,0)</f>
        <v/>
      </c>
      <c r="P14" s="9">
        <f>IF(H14&lt;0,1,0)</f>
        <v/>
      </c>
      <c r="Q14" s="9">
        <f>IF(L14+M14+N14+O14=0,1,0)</f>
        <v/>
      </c>
      <c r="R14" s="9">
        <f>IF(AND(Q14=1,E14&lt;&gt;"cancelled"),COUNTIFS($B$2:$B$152,B14,$Q$2:$Q$152,1,$E$2:$E$152,"&lt;&gt;cancelled",$C$2:$C$152,"&lt;"&amp;D14,$D$2:$D$152,"&gt;"&amp;C14)-1,0)</f>
        <v/>
      </c>
      <c r="S14" s="9">
        <f>IF(AND(Q14=1,OR(R14&gt;0,P14=1)),1,0)</f>
        <v/>
      </c>
      <c r="T14" s="9">
        <f>IF(Q14=0,0,IF(AND(S14=1,Dashboard!$C$7="Нет"),0,1))</f>
        <v/>
      </c>
      <c r="U14" s="9">
        <f>IF(L14=1,"Исключено: дубль",IF(M14=1,"Исключено: нет объекта",IF(N14=1,"Исключено: валюта",IF(O14=1,"Исключено: возврат/статус",IF(S14=1,"На проверке","OK")))))</f>
        <v/>
      </c>
      <c r="V14" s="25">
        <f>SUMIFS(commission_rules!$D$2:$D$21,commission_rules!$A$2:$A$21,B14,commission_rules!$B$2:$B$21,"&lt;="&amp;C14,commission_rules!$C$2:$C$21,"&gt;="&amp;C14)</f>
        <v/>
      </c>
      <c r="W14" s="10">
        <f>F14-I14</f>
        <v/>
      </c>
      <c r="X14" s="10">
        <f>IF(F14=0,0,H14*W14/F14)</f>
        <v/>
      </c>
      <c r="Y14" s="10">
        <f>V14*W14</f>
        <v/>
      </c>
      <c r="Z14" s="10">
        <f>W14-X14</f>
        <v/>
      </c>
      <c r="AA14" s="10">
        <f>SUMIFS(calc_payments!$N$2:$N$77,calc_payments!$B$2:$B$77,A14)</f>
        <v/>
      </c>
      <c r="AB14" s="10">
        <f>AA14-Z14</f>
        <v/>
      </c>
      <c r="AC14" s="9">
        <f>IF(T14=0,"",IF(AA14=0,IF(Z14=0,"нечего получать","нет платежа"),IF(ABS(AB14)&lt;1,"сходится","расхождение")))</f>
        <v/>
      </c>
      <c r="AD14" s="9">
        <f>MAX(0,MIN(D14,Dashboard!$C$6+1)-MAX(C14,Dashboard!$C$5))</f>
        <v/>
      </c>
      <c r="AE14" s="26">
        <f>IF(K14=0,0,AD14/K14)*T14</f>
        <v/>
      </c>
      <c r="AF14" s="10">
        <f>F14*AE14</f>
        <v/>
      </c>
      <c r="AG14" s="10">
        <f>I14*AE14</f>
        <v/>
      </c>
      <c r="AH14" s="10">
        <f>W14*AE14</f>
        <v/>
      </c>
      <c r="AI14" s="10">
        <f>X14*AE14</f>
        <v/>
      </c>
      <c r="AJ14" s="10">
        <f>Y14*AE14</f>
        <v/>
      </c>
      <c r="AK14" s="9">
        <f>IF(AND(T14=1,AD14&gt;0),1,0)</f>
        <v/>
      </c>
      <c r="AL14" s="10">
        <f>Z14*AK14</f>
        <v/>
      </c>
      <c r="AM14" s="10">
        <f>AA14*AK14</f>
        <v/>
      </c>
      <c r="AN14" s="9">
        <f>AD14*T14</f>
        <v/>
      </c>
      <c r="AO14" s="9">
        <f>S14*AK14</f>
        <v/>
      </c>
    </row>
    <row r="15">
      <c r="A15" s="9">
        <f>raw_reservations!A15</f>
        <v/>
      </c>
      <c r="B15" s="9">
        <f>raw_reservations!B15</f>
        <v/>
      </c>
      <c r="C15" s="24">
        <f>raw_reservations!C15</f>
        <v/>
      </c>
      <c r="D15" s="24">
        <f>raw_reservations!D15</f>
        <v/>
      </c>
      <c r="E15" s="9">
        <f>raw_reservations!E15</f>
        <v/>
      </c>
      <c r="F15" s="10">
        <f>raw_reservations!F15</f>
        <v/>
      </c>
      <c r="G15" s="9">
        <f>raw_reservations!G15</f>
        <v/>
      </c>
      <c r="H15" s="10">
        <f>raw_reservations!H15</f>
        <v/>
      </c>
      <c r="I15" s="10">
        <f>raw_reservations!I15</f>
        <v/>
      </c>
      <c r="J15" s="9">
        <f>raw_reservations!J15</f>
        <v/>
      </c>
      <c r="K15" s="9">
        <f>D15-C15</f>
        <v/>
      </c>
      <c r="L15" s="9">
        <f>IF(COUNTIF(A$2:A15,A15)&gt;1,1,0)</f>
        <v/>
      </c>
      <c r="M15" s="9">
        <f>IF(COUNTIF(properties!$A$2:$A$21,B15)=0,1,0)</f>
        <v/>
      </c>
      <c r="N15" s="9">
        <f>IF(M15=1,0,IF(G15&lt;&gt;INDEX(properties!$E$2:$E$21,MATCH(B15,properties!$A$2:$A$21,0)),1,0))</f>
        <v/>
      </c>
      <c r="O15" s="9">
        <f>IF(OR(I15&gt;F15,AND(E15&lt;&gt;"cancelled",I15&gt;0)),1,0)</f>
        <v/>
      </c>
      <c r="P15" s="9">
        <f>IF(H15&lt;0,1,0)</f>
        <v/>
      </c>
      <c r="Q15" s="9">
        <f>IF(L15+M15+N15+O15=0,1,0)</f>
        <v/>
      </c>
      <c r="R15" s="9">
        <f>IF(AND(Q15=1,E15&lt;&gt;"cancelled"),COUNTIFS($B$2:$B$152,B15,$Q$2:$Q$152,1,$E$2:$E$152,"&lt;&gt;cancelled",$C$2:$C$152,"&lt;"&amp;D15,$D$2:$D$152,"&gt;"&amp;C15)-1,0)</f>
        <v/>
      </c>
      <c r="S15" s="9">
        <f>IF(AND(Q15=1,OR(R15&gt;0,P15=1)),1,0)</f>
        <v/>
      </c>
      <c r="T15" s="9">
        <f>IF(Q15=0,0,IF(AND(S15=1,Dashboard!$C$7="Нет"),0,1))</f>
        <v/>
      </c>
      <c r="U15" s="9">
        <f>IF(L15=1,"Исключено: дубль",IF(M15=1,"Исключено: нет объекта",IF(N15=1,"Исключено: валюта",IF(O15=1,"Исключено: возврат/статус",IF(S15=1,"На проверке","OK")))))</f>
        <v/>
      </c>
      <c r="V15" s="25">
        <f>SUMIFS(commission_rules!$D$2:$D$21,commission_rules!$A$2:$A$21,B15,commission_rules!$B$2:$B$21,"&lt;="&amp;C15,commission_rules!$C$2:$C$21,"&gt;="&amp;C15)</f>
        <v/>
      </c>
      <c r="W15" s="10">
        <f>F15-I15</f>
        <v/>
      </c>
      <c r="X15" s="10">
        <f>IF(F15=0,0,H15*W15/F15)</f>
        <v/>
      </c>
      <c r="Y15" s="10">
        <f>V15*W15</f>
        <v/>
      </c>
      <c r="Z15" s="10">
        <f>W15-X15</f>
        <v/>
      </c>
      <c r="AA15" s="10">
        <f>SUMIFS(calc_payments!$N$2:$N$77,calc_payments!$B$2:$B$77,A15)</f>
        <v/>
      </c>
      <c r="AB15" s="10">
        <f>AA15-Z15</f>
        <v/>
      </c>
      <c r="AC15" s="9">
        <f>IF(T15=0,"",IF(AA15=0,IF(Z15=0,"нечего получать","нет платежа"),IF(ABS(AB15)&lt;1,"сходится","расхождение")))</f>
        <v/>
      </c>
      <c r="AD15" s="9">
        <f>MAX(0,MIN(D15,Dashboard!$C$6+1)-MAX(C15,Dashboard!$C$5))</f>
        <v/>
      </c>
      <c r="AE15" s="26">
        <f>IF(K15=0,0,AD15/K15)*T15</f>
        <v/>
      </c>
      <c r="AF15" s="10">
        <f>F15*AE15</f>
        <v/>
      </c>
      <c r="AG15" s="10">
        <f>I15*AE15</f>
        <v/>
      </c>
      <c r="AH15" s="10">
        <f>W15*AE15</f>
        <v/>
      </c>
      <c r="AI15" s="10">
        <f>X15*AE15</f>
        <v/>
      </c>
      <c r="AJ15" s="10">
        <f>Y15*AE15</f>
        <v/>
      </c>
      <c r="AK15" s="9">
        <f>IF(AND(T15=1,AD15&gt;0),1,0)</f>
        <v/>
      </c>
      <c r="AL15" s="10">
        <f>Z15*AK15</f>
        <v/>
      </c>
      <c r="AM15" s="10">
        <f>AA15*AK15</f>
        <v/>
      </c>
      <c r="AN15" s="9">
        <f>AD15*T15</f>
        <v/>
      </c>
      <c r="AO15" s="9">
        <f>S15*AK15</f>
        <v/>
      </c>
    </row>
    <row r="16">
      <c r="A16" s="9">
        <f>raw_reservations!A16</f>
        <v/>
      </c>
      <c r="B16" s="9">
        <f>raw_reservations!B16</f>
        <v/>
      </c>
      <c r="C16" s="24">
        <f>raw_reservations!C16</f>
        <v/>
      </c>
      <c r="D16" s="24">
        <f>raw_reservations!D16</f>
        <v/>
      </c>
      <c r="E16" s="9">
        <f>raw_reservations!E16</f>
        <v/>
      </c>
      <c r="F16" s="10">
        <f>raw_reservations!F16</f>
        <v/>
      </c>
      <c r="G16" s="9">
        <f>raw_reservations!G16</f>
        <v/>
      </c>
      <c r="H16" s="10">
        <f>raw_reservations!H16</f>
        <v/>
      </c>
      <c r="I16" s="10">
        <f>raw_reservations!I16</f>
        <v/>
      </c>
      <c r="J16" s="9">
        <f>raw_reservations!J16</f>
        <v/>
      </c>
      <c r="K16" s="9">
        <f>D16-C16</f>
        <v/>
      </c>
      <c r="L16" s="9">
        <f>IF(COUNTIF(A$2:A16,A16)&gt;1,1,0)</f>
        <v/>
      </c>
      <c r="M16" s="9">
        <f>IF(COUNTIF(properties!$A$2:$A$21,B16)=0,1,0)</f>
        <v/>
      </c>
      <c r="N16" s="9">
        <f>IF(M16=1,0,IF(G16&lt;&gt;INDEX(properties!$E$2:$E$21,MATCH(B16,properties!$A$2:$A$21,0)),1,0))</f>
        <v/>
      </c>
      <c r="O16" s="9">
        <f>IF(OR(I16&gt;F16,AND(E16&lt;&gt;"cancelled",I16&gt;0)),1,0)</f>
        <v/>
      </c>
      <c r="P16" s="9">
        <f>IF(H16&lt;0,1,0)</f>
        <v/>
      </c>
      <c r="Q16" s="9">
        <f>IF(L16+M16+N16+O16=0,1,0)</f>
        <v/>
      </c>
      <c r="R16" s="9">
        <f>IF(AND(Q16=1,E16&lt;&gt;"cancelled"),COUNTIFS($B$2:$B$152,B16,$Q$2:$Q$152,1,$E$2:$E$152,"&lt;&gt;cancelled",$C$2:$C$152,"&lt;"&amp;D16,$D$2:$D$152,"&gt;"&amp;C16)-1,0)</f>
        <v/>
      </c>
      <c r="S16" s="9">
        <f>IF(AND(Q16=1,OR(R16&gt;0,P16=1)),1,0)</f>
        <v/>
      </c>
      <c r="T16" s="9">
        <f>IF(Q16=0,0,IF(AND(S16=1,Dashboard!$C$7="Нет"),0,1))</f>
        <v/>
      </c>
      <c r="U16" s="9">
        <f>IF(L16=1,"Исключено: дубль",IF(M16=1,"Исключено: нет объекта",IF(N16=1,"Исключено: валюта",IF(O16=1,"Исключено: возврат/статус",IF(S16=1,"На проверке","OK")))))</f>
        <v/>
      </c>
      <c r="V16" s="25">
        <f>SUMIFS(commission_rules!$D$2:$D$21,commission_rules!$A$2:$A$21,B16,commission_rules!$B$2:$B$21,"&lt;="&amp;C16,commission_rules!$C$2:$C$21,"&gt;="&amp;C16)</f>
        <v/>
      </c>
      <c r="W16" s="10">
        <f>F16-I16</f>
        <v/>
      </c>
      <c r="X16" s="10">
        <f>IF(F16=0,0,H16*W16/F16)</f>
        <v/>
      </c>
      <c r="Y16" s="10">
        <f>V16*W16</f>
        <v/>
      </c>
      <c r="Z16" s="10">
        <f>W16-X16</f>
        <v/>
      </c>
      <c r="AA16" s="10">
        <f>SUMIFS(calc_payments!$N$2:$N$77,calc_payments!$B$2:$B$77,A16)</f>
        <v/>
      </c>
      <c r="AB16" s="10">
        <f>AA16-Z16</f>
        <v/>
      </c>
      <c r="AC16" s="9">
        <f>IF(T16=0,"",IF(AA16=0,IF(Z16=0,"нечего получать","нет платежа"),IF(ABS(AB16)&lt;1,"сходится","расхождение")))</f>
        <v/>
      </c>
      <c r="AD16" s="9">
        <f>MAX(0,MIN(D16,Dashboard!$C$6+1)-MAX(C16,Dashboard!$C$5))</f>
        <v/>
      </c>
      <c r="AE16" s="26">
        <f>IF(K16=0,0,AD16/K16)*T16</f>
        <v/>
      </c>
      <c r="AF16" s="10">
        <f>F16*AE16</f>
        <v/>
      </c>
      <c r="AG16" s="10">
        <f>I16*AE16</f>
        <v/>
      </c>
      <c r="AH16" s="10">
        <f>W16*AE16</f>
        <v/>
      </c>
      <c r="AI16" s="10">
        <f>X16*AE16</f>
        <v/>
      </c>
      <c r="AJ16" s="10">
        <f>Y16*AE16</f>
        <v/>
      </c>
      <c r="AK16" s="9">
        <f>IF(AND(T16=1,AD16&gt;0),1,0)</f>
        <v/>
      </c>
      <c r="AL16" s="10">
        <f>Z16*AK16</f>
        <v/>
      </c>
      <c r="AM16" s="10">
        <f>AA16*AK16</f>
        <v/>
      </c>
      <c r="AN16" s="9">
        <f>AD16*T16</f>
        <v/>
      </c>
      <c r="AO16" s="9">
        <f>S16*AK16</f>
        <v/>
      </c>
    </row>
    <row r="17">
      <c r="A17" s="9">
        <f>raw_reservations!A17</f>
        <v/>
      </c>
      <c r="B17" s="9">
        <f>raw_reservations!B17</f>
        <v/>
      </c>
      <c r="C17" s="24">
        <f>raw_reservations!C17</f>
        <v/>
      </c>
      <c r="D17" s="24">
        <f>raw_reservations!D17</f>
        <v/>
      </c>
      <c r="E17" s="9">
        <f>raw_reservations!E17</f>
        <v/>
      </c>
      <c r="F17" s="10">
        <f>raw_reservations!F17</f>
        <v/>
      </c>
      <c r="G17" s="9">
        <f>raw_reservations!G17</f>
        <v/>
      </c>
      <c r="H17" s="10">
        <f>raw_reservations!H17</f>
        <v/>
      </c>
      <c r="I17" s="10">
        <f>raw_reservations!I17</f>
        <v/>
      </c>
      <c r="J17" s="9">
        <f>raw_reservations!J17</f>
        <v/>
      </c>
      <c r="K17" s="9">
        <f>D17-C17</f>
        <v/>
      </c>
      <c r="L17" s="9">
        <f>IF(COUNTIF(A$2:A17,A17)&gt;1,1,0)</f>
        <v/>
      </c>
      <c r="M17" s="9">
        <f>IF(COUNTIF(properties!$A$2:$A$21,B17)=0,1,0)</f>
        <v/>
      </c>
      <c r="N17" s="9">
        <f>IF(M17=1,0,IF(G17&lt;&gt;INDEX(properties!$E$2:$E$21,MATCH(B17,properties!$A$2:$A$21,0)),1,0))</f>
        <v/>
      </c>
      <c r="O17" s="9">
        <f>IF(OR(I17&gt;F17,AND(E17&lt;&gt;"cancelled",I17&gt;0)),1,0)</f>
        <v/>
      </c>
      <c r="P17" s="9">
        <f>IF(H17&lt;0,1,0)</f>
        <v/>
      </c>
      <c r="Q17" s="9">
        <f>IF(L17+M17+N17+O17=0,1,0)</f>
        <v/>
      </c>
      <c r="R17" s="9">
        <f>IF(AND(Q17=1,E17&lt;&gt;"cancelled"),COUNTIFS($B$2:$B$152,B17,$Q$2:$Q$152,1,$E$2:$E$152,"&lt;&gt;cancelled",$C$2:$C$152,"&lt;"&amp;D17,$D$2:$D$152,"&gt;"&amp;C17)-1,0)</f>
        <v/>
      </c>
      <c r="S17" s="9">
        <f>IF(AND(Q17=1,OR(R17&gt;0,P17=1)),1,0)</f>
        <v/>
      </c>
      <c r="T17" s="9">
        <f>IF(Q17=0,0,IF(AND(S17=1,Dashboard!$C$7="Нет"),0,1))</f>
        <v/>
      </c>
      <c r="U17" s="9">
        <f>IF(L17=1,"Исключено: дубль",IF(M17=1,"Исключено: нет объекта",IF(N17=1,"Исключено: валюта",IF(O17=1,"Исключено: возврат/статус",IF(S17=1,"На проверке","OK")))))</f>
        <v/>
      </c>
      <c r="V17" s="25">
        <f>SUMIFS(commission_rules!$D$2:$D$21,commission_rules!$A$2:$A$21,B17,commission_rules!$B$2:$B$21,"&lt;="&amp;C17,commission_rules!$C$2:$C$21,"&gt;="&amp;C17)</f>
        <v/>
      </c>
      <c r="W17" s="10">
        <f>F17-I17</f>
        <v/>
      </c>
      <c r="X17" s="10">
        <f>IF(F17=0,0,H17*W17/F17)</f>
        <v/>
      </c>
      <c r="Y17" s="10">
        <f>V17*W17</f>
        <v/>
      </c>
      <c r="Z17" s="10">
        <f>W17-X17</f>
        <v/>
      </c>
      <c r="AA17" s="10">
        <f>SUMIFS(calc_payments!$N$2:$N$77,calc_payments!$B$2:$B$77,A17)</f>
        <v/>
      </c>
      <c r="AB17" s="10">
        <f>AA17-Z17</f>
        <v/>
      </c>
      <c r="AC17" s="9">
        <f>IF(T17=0,"",IF(AA17=0,IF(Z17=0,"нечего получать","нет платежа"),IF(ABS(AB17)&lt;1,"сходится","расхождение")))</f>
        <v/>
      </c>
      <c r="AD17" s="9">
        <f>MAX(0,MIN(D17,Dashboard!$C$6+1)-MAX(C17,Dashboard!$C$5))</f>
        <v/>
      </c>
      <c r="AE17" s="26">
        <f>IF(K17=0,0,AD17/K17)*T17</f>
        <v/>
      </c>
      <c r="AF17" s="10">
        <f>F17*AE17</f>
        <v/>
      </c>
      <c r="AG17" s="10">
        <f>I17*AE17</f>
        <v/>
      </c>
      <c r="AH17" s="10">
        <f>W17*AE17</f>
        <v/>
      </c>
      <c r="AI17" s="10">
        <f>X17*AE17</f>
        <v/>
      </c>
      <c r="AJ17" s="10">
        <f>Y17*AE17</f>
        <v/>
      </c>
      <c r="AK17" s="9">
        <f>IF(AND(T17=1,AD17&gt;0),1,0)</f>
        <v/>
      </c>
      <c r="AL17" s="10">
        <f>Z17*AK17</f>
        <v/>
      </c>
      <c r="AM17" s="10">
        <f>AA17*AK17</f>
        <v/>
      </c>
      <c r="AN17" s="9">
        <f>AD17*T17</f>
        <v/>
      </c>
      <c r="AO17" s="9">
        <f>S17*AK17</f>
        <v/>
      </c>
    </row>
    <row r="18">
      <c r="A18" s="9">
        <f>raw_reservations!A18</f>
        <v/>
      </c>
      <c r="B18" s="9">
        <f>raw_reservations!B18</f>
        <v/>
      </c>
      <c r="C18" s="24">
        <f>raw_reservations!C18</f>
        <v/>
      </c>
      <c r="D18" s="24">
        <f>raw_reservations!D18</f>
        <v/>
      </c>
      <c r="E18" s="9">
        <f>raw_reservations!E18</f>
        <v/>
      </c>
      <c r="F18" s="10">
        <f>raw_reservations!F18</f>
        <v/>
      </c>
      <c r="G18" s="9">
        <f>raw_reservations!G18</f>
        <v/>
      </c>
      <c r="H18" s="10">
        <f>raw_reservations!H18</f>
        <v/>
      </c>
      <c r="I18" s="10">
        <f>raw_reservations!I18</f>
        <v/>
      </c>
      <c r="J18" s="9">
        <f>raw_reservations!J18</f>
        <v/>
      </c>
      <c r="K18" s="9">
        <f>D18-C18</f>
        <v/>
      </c>
      <c r="L18" s="9">
        <f>IF(COUNTIF(A$2:A18,A18)&gt;1,1,0)</f>
        <v/>
      </c>
      <c r="M18" s="9">
        <f>IF(COUNTIF(properties!$A$2:$A$21,B18)=0,1,0)</f>
        <v/>
      </c>
      <c r="N18" s="9">
        <f>IF(M18=1,0,IF(G18&lt;&gt;INDEX(properties!$E$2:$E$21,MATCH(B18,properties!$A$2:$A$21,0)),1,0))</f>
        <v/>
      </c>
      <c r="O18" s="9">
        <f>IF(OR(I18&gt;F18,AND(E18&lt;&gt;"cancelled",I18&gt;0)),1,0)</f>
        <v/>
      </c>
      <c r="P18" s="9">
        <f>IF(H18&lt;0,1,0)</f>
        <v/>
      </c>
      <c r="Q18" s="9">
        <f>IF(L18+M18+N18+O18=0,1,0)</f>
        <v/>
      </c>
      <c r="R18" s="9">
        <f>IF(AND(Q18=1,E18&lt;&gt;"cancelled"),COUNTIFS($B$2:$B$152,B18,$Q$2:$Q$152,1,$E$2:$E$152,"&lt;&gt;cancelled",$C$2:$C$152,"&lt;"&amp;D18,$D$2:$D$152,"&gt;"&amp;C18)-1,0)</f>
        <v/>
      </c>
      <c r="S18" s="9">
        <f>IF(AND(Q18=1,OR(R18&gt;0,P18=1)),1,0)</f>
        <v/>
      </c>
      <c r="T18" s="9">
        <f>IF(Q18=0,0,IF(AND(S18=1,Dashboard!$C$7="Нет"),0,1))</f>
        <v/>
      </c>
      <c r="U18" s="9">
        <f>IF(L18=1,"Исключено: дубль",IF(M18=1,"Исключено: нет объекта",IF(N18=1,"Исключено: валюта",IF(O18=1,"Исключено: возврат/статус",IF(S18=1,"На проверке","OK")))))</f>
        <v/>
      </c>
      <c r="V18" s="25">
        <f>SUMIFS(commission_rules!$D$2:$D$21,commission_rules!$A$2:$A$21,B18,commission_rules!$B$2:$B$21,"&lt;="&amp;C18,commission_rules!$C$2:$C$21,"&gt;="&amp;C18)</f>
        <v/>
      </c>
      <c r="W18" s="10">
        <f>F18-I18</f>
        <v/>
      </c>
      <c r="X18" s="10">
        <f>IF(F18=0,0,H18*W18/F18)</f>
        <v/>
      </c>
      <c r="Y18" s="10">
        <f>V18*W18</f>
        <v/>
      </c>
      <c r="Z18" s="10">
        <f>W18-X18</f>
        <v/>
      </c>
      <c r="AA18" s="10">
        <f>SUMIFS(calc_payments!$N$2:$N$77,calc_payments!$B$2:$B$77,A18)</f>
        <v/>
      </c>
      <c r="AB18" s="10">
        <f>AA18-Z18</f>
        <v/>
      </c>
      <c r="AC18" s="9">
        <f>IF(T18=0,"",IF(AA18=0,IF(Z18=0,"нечего получать","нет платежа"),IF(ABS(AB18)&lt;1,"сходится","расхождение")))</f>
        <v/>
      </c>
      <c r="AD18" s="9">
        <f>MAX(0,MIN(D18,Dashboard!$C$6+1)-MAX(C18,Dashboard!$C$5))</f>
        <v/>
      </c>
      <c r="AE18" s="26">
        <f>IF(K18=0,0,AD18/K18)*T18</f>
        <v/>
      </c>
      <c r="AF18" s="10">
        <f>F18*AE18</f>
        <v/>
      </c>
      <c r="AG18" s="10">
        <f>I18*AE18</f>
        <v/>
      </c>
      <c r="AH18" s="10">
        <f>W18*AE18</f>
        <v/>
      </c>
      <c r="AI18" s="10">
        <f>X18*AE18</f>
        <v/>
      </c>
      <c r="AJ18" s="10">
        <f>Y18*AE18</f>
        <v/>
      </c>
      <c r="AK18" s="9">
        <f>IF(AND(T18=1,AD18&gt;0),1,0)</f>
        <v/>
      </c>
      <c r="AL18" s="10">
        <f>Z18*AK18</f>
        <v/>
      </c>
      <c r="AM18" s="10">
        <f>AA18*AK18</f>
        <v/>
      </c>
      <c r="AN18" s="9">
        <f>AD18*T18</f>
        <v/>
      </c>
      <c r="AO18" s="9">
        <f>S18*AK18</f>
        <v/>
      </c>
    </row>
    <row r="19">
      <c r="A19" s="9">
        <f>raw_reservations!A19</f>
        <v/>
      </c>
      <c r="B19" s="9">
        <f>raw_reservations!B19</f>
        <v/>
      </c>
      <c r="C19" s="24">
        <f>raw_reservations!C19</f>
        <v/>
      </c>
      <c r="D19" s="24">
        <f>raw_reservations!D19</f>
        <v/>
      </c>
      <c r="E19" s="9">
        <f>raw_reservations!E19</f>
        <v/>
      </c>
      <c r="F19" s="10">
        <f>raw_reservations!F19</f>
        <v/>
      </c>
      <c r="G19" s="9">
        <f>raw_reservations!G19</f>
        <v/>
      </c>
      <c r="H19" s="10">
        <f>raw_reservations!H19</f>
        <v/>
      </c>
      <c r="I19" s="10">
        <f>raw_reservations!I19</f>
        <v/>
      </c>
      <c r="J19" s="9">
        <f>raw_reservations!J19</f>
        <v/>
      </c>
      <c r="K19" s="9">
        <f>D19-C19</f>
        <v/>
      </c>
      <c r="L19" s="9">
        <f>IF(COUNTIF(A$2:A19,A19)&gt;1,1,0)</f>
        <v/>
      </c>
      <c r="M19" s="9">
        <f>IF(COUNTIF(properties!$A$2:$A$21,B19)=0,1,0)</f>
        <v/>
      </c>
      <c r="N19" s="9">
        <f>IF(M19=1,0,IF(G19&lt;&gt;INDEX(properties!$E$2:$E$21,MATCH(B19,properties!$A$2:$A$21,0)),1,0))</f>
        <v/>
      </c>
      <c r="O19" s="9">
        <f>IF(OR(I19&gt;F19,AND(E19&lt;&gt;"cancelled",I19&gt;0)),1,0)</f>
        <v/>
      </c>
      <c r="P19" s="9">
        <f>IF(H19&lt;0,1,0)</f>
        <v/>
      </c>
      <c r="Q19" s="9">
        <f>IF(L19+M19+N19+O19=0,1,0)</f>
        <v/>
      </c>
      <c r="R19" s="9">
        <f>IF(AND(Q19=1,E19&lt;&gt;"cancelled"),COUNTIFS($B$2:$B$152,B19,$Q$2:$Q$152,1,$E$2:$E$152,"&lt;&gt;cancelled",$C$2:$C$152,"&lt;"&amp;D19,$D$2:$D$152,"&gt;"&amp;C19)-1,0)</f>
        <v/>
      </c>
      <c r="S19" s="9">
        <f>IF(AND(Q19=1,OR(R19&gt;0,P19=1)),1,0)</f>
        <v/>
      </c>
      <c r="T19" s="9">
        <f>IF(Q19=0,0,IF(AND(S19=1,Dashboard!$C$7="Нет"),0,1))</f>
        <v/>
      </c>
      <c r="U19" s="9">
        <f>IF(L19=1,"Исключено: дубль",IF(M19=1,"Исключено: нет объекта",IF(N19=1,"Исключено: валюта",IF(O19=1,"Исключено: возврат/статус",IF(S19=1,"На проверке","OK")))))</f>
        <v/>
      </c>
      <c r="V19" s="25">
        <f>SUMIFS(commission_rules!$D$2:$D$21,commission_rules!$A$2:$A$21,B19,commission_rules!$B$2:$B$21,"&lt;="&amp;C19,commission_rules!$C$2:$C$21,"&gt;="&amp;C19)</f>
        <v/>
      </c>
      <c r="W19" s="10">
        <f>F19-I19</f>
        <v/>
      </c>
      <c r="X19" s="10">
        <f>IF(F19=0,0,H19*W19/F19)</f>
        <v/>
      </c>
      <c r="Y19" s="10">
        <f>V19*W19</f>
        <v/>
      </c>
      <c r="Z19" s="10">
        <f>W19-X19</f>
        <v/>
      </c>
      <c r="AA19" s="10">
        <f>SUMIFS(calc_payments!$N$2:$N$77,calc_payments!$B$2:$B$77,A19)</f>
        <v/>
      </c>
      <c r="AB19" s="10">
        <f>AA19-Z19</f>
        <v/>
      </c>
      <c r="AC19" s="9">
        <f>IF(T19=0,"",IF(AA19=0,IF(Z19=0,"нечего получать","нет платежа"),IF(ABS(AB19)&lt;1,"сходится","расхождение")))</f>
        <v/>
      </c>
      <c r="AD19" s="9">
        <f>MAX(0,MIN(D19,Dashboard!$C$6+1)-MAX(C19,Dashboard!$C$5))</f>
        <v/>
      </c>
      <c r="AE19" s="26">
        <f>IF(K19=0,0,AD19/K19)*T19</f>
        <v/>
      </c>
      <c r="AF19" s="10">
        <f>F19*AE19</f>
        <v/>
      </c>
      <c r="AG19" s="10">
        <f>I19*AE19</f>
        <v/>
      </c>
      <c r="AH19" s="10">
        <f>W19*AE19</f>
        <v/>
      </c>
      <c r="AI19" s="10">
        <f>X19*AE19</f>
        <v/>
      </c>
      <c r="AJ19" s="10">
        <f>Y19*AE19</f>
        <v/>
      </c>
      <c r="AK19" s="9">
        <f>IF(AND(T19=1,AD19&gt;0),1,0)</f>
        <v/>
      </c>
      <c r="AL19" s="10">
        <f>Z19*AK19</f>
        <v/>
      </c>
      <c r="AM19" s="10">
        <f>AA19*AK19</f>
        <v/>
      </c>
      <c r="AN19" s="9">
        <f>AD19*T19</f>
        <v/>
      </c>
      <c r="AO19" s="9">
        <f>S19*AK19</f>
        <v/>
      </c>
    </row>
    <row r="20">
      <c r="A20" s="9">
        <f>raw_reservations!A20</f>
        <v/>
      </c>
      <c r="B20" s="9">
        <f>raw_reservations!B20</f>
        <v/>
      </c>
      <c r="C20" s="24">
        <f>raw_reservations!C20</f>
        <v/>
      </c>
      <c r="D20" s="24">
        <f>raw_reservations!D20</f>
        <v/>
      </c>
      <c r="E20" s="9">
        <f>raw_reservations!E20</f>
        <v/>
      </c>
      <c r="F20" s="10">
        <f>raw_reservations!F20</f>
        <v/>
      </c>
      <c r="G20" s="9">
        <f>raw_reservations!G20</f>
        <v/>
      </c>
      <c r="H20" s="10">
        <f>raw_reservations!H20</f>
        <v/>
      </c>
      <c r="I20" s="10">
        <f>raw_reservations!I20</f>
        <v/>
      </c>
      <c r="J20" s="9">
        <f>raw_reservations!J20</f>
        <v/>
      </c>
      <c r="K20" s="9">
        <f>D20-C20</f>
        <v/>
      </c>
      <c r="L20" s="9">
        <f>IF(COUNTIF(A$2:A20,A20)&gt;1,1,0)</f>
        <v/>
      </c>
      <c r="M20" s="9">
        <f>IF(COUNTIF(properties!$A$2:$A$21,B20)=0,1,0)</f>
        <v/>
      </c>
      <c r="N20" s="9">
        <f>IF(M20=1,0,IF(G20&lt;&gt;INDEX(properties!$E$2:$E$21,MATCH(B20,properties!$A$2:$A$21,0)),1,0))</f>
        <v/>
      </c>
      <c r="O20" s="9">
        <f>IF(OR(I20&gt;F20,AND(E20&lt;&gt;"cancelled",I20&gt;0)),1,0)</f>
        <v/>
      </c>
      <c r="P20" s="9">
        <f>IF(H20&lt;0,1,0)</f>
        <v/>
      </c>
      <c r="Q20" s="9">
        <f>IF(L20+M20+N20+O20=0,1,0)</f>
        <v/>
      </c>
      <c r="R20" s="9">
        <f>IF(AND(Q20=1,E20&lt;&gt;"cancelled"),COUNTIFS($B$2:$B$152,B20,$Q$2:$Q$152,1,$E$2:$E$152,"&lt;&gt;cancelled",$C$2:$C$152,"&lt;"&amp;D20,$D$2:$D$152,"&gt;"&amp;C20)-1,0)</f>
        <v/>
      </c>
      <c r="S20" s="9">
        <f>IF(AND(Q20=1,OR(R20&gt;0,P20=1)),1,0)</f>
        <v/>
      </c>
      <c r="T20" s="9">
        <f>IF(Q20=0,0,IF(AND(S20=1,Dashboard!$C$7="Нет"),0,1))</f>
        <v/>
      </c>
      <c r="U20" s="9">
        <f>IF(L20=1,"Исключено: дубль",IF(M20=1,"Исключено: нет объекта",IF(N20=1,"Исключено: валюта",IF(O20=1,"Исключено: возврат/статус",IF(S20=1,"На проверке","OK")))))</f>
        <v/>
      </c>
      <c r="V20" s="25">
        <f>SUMIFS(commission_rules!$D$2:$D$21,commission_rules!$A$2:$A$21,B20,commission_rules!$B$2:$B$21,"&lt;="&amp;C20,commission_rules!$C$2:$C$21,"&gt;="&amp;C20)</f>
        <v/>
      </c>
      <c r="W20" s="10">
        <f>F20-I20</f>
        <v/>
      </c>
      <c r="X20" s="10">
        <f>IF(F20=0,0,H20*W20/F20)</f>
        <v/>
      </c>
      <c r="Y20" s="10">
        <f>V20*W20</f>
        <v/>
      </c>
      <c r="Z20" s="10">
        <f>W20-X20</f>
        <v/>
      </c>
      <c r="AA20" s="10">
        <f>SUMIFS(calc_payments!$N$2:$N$77,calc_payments!$B$2:$B$77,A20)</f>
        <v/>
      </c>
      <c r="AB20" s="10">
        <f>AA20-Z20</f>
        <v/>
      </c>
      <c r="AC20" s="9">
        <f>IF(T20=0,"",IF(AA20=0,IF(Z20=0,"нечего получать","нет платежа"),IF(ABS(AB20)&lt;1,"сходится","расхождение")))</f>
        <v/>
      </c>
      <c r="AD20" s="9">
        <f>MAX(0,MIN(D20,Dashboard!$C$6+1)-MAX(C20,Dashboard!$C$5))</f>
        <v/>
      </c>
      <c r="AE20" s="26">
        <f>IF(K20=0,0,AD20/K20)*T20</f>
        <v/>
      </c>
      <c r="AF20" s="10">
        <f>F20*AE20</f>
        <v/>
      </c>
      <c r="AG20" s="10">
        <f>I20*AE20</f>
        <v/>
      </c>
      <c r="AH20" s="10">
        <f>W20*AE20</f>
        <v/>
      </c>
      <c r="AI20" s="10">
        <f>X20*AE20</f>
        <v/>
      </c>
      <c r="AJ20" s="10">
        <f>Y20*AE20</f>
        <v/>
      </c>
      <c r="AK20" s="9">
        <f>IF(AND(T20=1,AD20&gt;0),1,0)</f>
        <v/>
      </c>
      <c r="AL20" s="10">
        <f>Z20*AK20</f>
        <v/>
      </c>
      <c r="AM20" s="10">
        <f>AA20*AK20</f>
        <v/>
      </c>
      <c r="AN20" s="9">
        <f>AD20*T20</f>
        <v/>
      </c>
      <c r="AO20" s="9">
        <f>S20*AK20</f>
        <v/>
      </c>
    </row>
    <row r="21">
      <c r="A21" s="9">
        <f>raw_reservations!A21</f>
        <v/>
      </c>
      <c r="B21" s="9">
        <f>raw_reservations!B21</f>
        <v/>
      </c>
      <c r="C21" s="24">
        <f>raw_reservations!C21</f>
        <v/>
      </c>
      <c r="D21" s="24">
        <f>raw_reservations!D21</f>
        <v/>
      </c>
      <c r="E21" s="9">
        <f>raw_reservations!E21</f>
        <v/>
      </c>
      <c r="F21" s="10">
        <f>raw_reservations!F21</f>
        <v/>
      </c>
      <c r="G21" s="9">
        <f>raw_reservations!G21</f>
        <v/>
      </c>
      <c r="H21" s="10">
        <f>raw_reservations!H21</f>
        <v/>
      </c>
      <c r="I21" s="10">
        <f>raw_reservations!I21</f>
        <v/>
      </c>
      <c r="J21" s="9">
        <f>raw_reservations!J21</f>
        <v/>
      </c>
      <c r="K21" s="9">
        <f>D21-C21</f>
        <v/>
      </c>
      <c r="L21" s="9">
        <f>IF(COUNTIF(A$2:A21,A21)&gt;1,1,0)</f>
        <v/>
      </c>
      <c r="M21" s="9">
        <f>IF(COUNTIF(properties!$A$2:$A$21,B21)=0,1,0)</f>
        <v/>
      </c>
      <c r="N21" s="9">
        <f>IF(M21=1,0,IF(G21&lt;&gt;INDEX(properties!$E$2:$E$21,MATCH(B21,properties!$A$2:$A$21,0)),1,0))</f>
        <v/>
      </c>
      <c r="O21" s="9">
        <f>IF(OR(I21&gt;F21,AND(E21&lt;&gt;"cancelled",I21&gt;0)),1,0)</f>
        <v/>
      </c>
      <c r="P21" s="9">
        <f>IF(H21&lt;0,1,0)</f>
        <v/>
      </c>
      <c r="Q21" s="9">
        <f>IF(L21+M21+N21+O21=0,1,0)</f>
        <v/>
      </c>
      <c r="R21" s="9">
        <f>IF(AND(Q21=1,E21&lt;&gt;"cancelled"),COUNTIFS($B$2:$B$152,B21,$Q$2:$Q$152,1,$E$2:$E$152,"&lt;&gt;cancelled",$C$2:$C$152,"&lt;"&amp;D21,$D$2:$D$152,"&gt;"&amp;C21)-1,0)</f>
        <v/>
      </c>
      <c r="S21" s="9">
        <f>IF(AND(Q21=1,OR(R21&gt;0,P21=1)),1,0)</f>
        <v/>
      </c>
      <c r="T21" s="9">
        <f>IF(Q21=0,0,IF(AND(S21=1,Dashboard!$C$7="Нет"),0,1))</f>
        <v/>
      </c>
      <c r="U21" s="9">
        <f>IF(L21=1,"Исключено: дубль",IF(M21=1,"Исключено: нет объекта",IF(N21=1,"Исключено: валюта",IF(O21=1,"Исключено: возврат/статус",IF(S21=1,"На проверке","OK")))))</f>
        <v/>
      </c>
      <c r="V21" s="25">
        <f>SUMIFS(commission_rules!$D$2:$D$21,commission_rules!$A$2:$A$21,B21,commission_rules!$B$2:$B$21,"&lt;="&amp;C21,commission_rules!$C$2:$C$21,"&gt;="&amp;C21)</f>
        <v/>
      </c>
      <c r="W21" s="10">
        <f>F21-I21</f>
        <v/>
      </c>
      <c r="X21" s="10">
        <f>IF(F21=0,0,H21*W21/F21)</f>
        <v/>
      </c>
      <c r="Y21" s="10">
        <f>V21*W21</f>
        <v/>
      </c>
      <c r="Z21" s="10">
        <f>W21-X21</f>
        <v/>
      </c>
      <c r="AA21" s="10">
        <f>SUMIFS(calc_payments!$N$2:$N$77,calc_payments!$B$2:$B$77,A21)</f>
        <v/>
      </c>
      <c r="AB21" s="10">
        <f>AA21-Z21</f>
        <v/>
      </c>
      <c r="AC21" s="9">
        <f>IF(T21=0,"",IF(AA21=0,IF(Z21=0,"нечего получать","нет платежа"),IF(ABS(AB21)&lt;1,"сходится","расхождение")))</f>
        <v/>
      </c>
      <c r="AD21" s="9">
        <f>MAX(0,MIN(D21,Dashboard!$C$6+1)-MAX(C21,Dashboard!$C$5))</f>
        <v/>
      </c>
      <c r="AE21" s="26">
        <f>IF(K21=0,0,AD21/K21)*T21</f>
        <v/>
      </c>
      <c r="AF21" s="10">
        <f>F21*AE21</f>
        <v/>
      </c>
      <c r="AG21" s="10">
        <f>I21*AE21</f>
        <v/>
      </c>
      <c r="AH21" s="10">
        <f>W21*AE21</f>
        <v/>
      </c>
      <c r="AI21" s="10">
        <f>X21*AE21</f>
        <v/>
      </c>
      <c r="AJ21" s="10">
        <f>Y21*AE21</f>
        <v/>
      </c>
      <c r="AK21" s="9">
        <f>IF(AND(T21=1,AD21&gt;0),1,0)</f>
        <v/>
      </c>
      <c r="AL21" s="10">
        <f>Z21*AK21</f>
        <v/>
      </c>
      <c r="AM21" s="10">
        <f>AA21*AK21</f>
        <v/>
      </c>
      <c r="AN21" s="9">
        <f>AD21*T21</f>
        <v/>
      </c>
      <c r="AO21" s="9">
        <f>S21*AK21</f>
        <v/>
      </c>
    </row>
    <row r="22">
      <c r="A22" s="9">
        <f>raw_reservations!A22</f>
        <v/>
      </c>
      <c r="B22" s="9">
        <f>raw_reservations!B22</f>
        <v/>
      </c>
      <c r="C22" s="24">
        <f>raw_reservations!C22</f>
        <v/>
      </c>
      <c r="D22" s="24">
        <f>raw_reservations!D22</f>
        <v/>
      </c>
      <c r="E22" s="9">
        <f>raw_reservations!E22</f>
        <v/>
      </c>
      <c r="F22" s="10">
        <f>raw_reservations!F22</f>
        <v/>
      </c>
      <c r="G22" s="9">
        <f>raw_reservations!G22</f>
        <v/>
      </c>
      <c r="H22" s="10">
        <f>raw_reservations!H22</f>
        <v/>
      </c>
      <c r="I22" s="10">
        <f>raw_reservations!I22</f>
        <v/>
      </c>
      <c r="J22" s="9">
        <f>raw_reservations!J22</f>
        <v/>
      </c>
      <c r="K22" s="9">
        <f>D22-C22</f>
        <v/>
      </c>
      <c r="L22" s="9">
        <f>IF(COUNTIF(A$2:A22,A22)&gt;1,1,0)</f>
        <v/>
      </c>
      <c r="M22" s="9">
        <f>IF(COUNTIF(properties!$A$2:$A$21,B22)=0,1,0)</f>
        <v/>
      </c>
      <c r="N22" s="9">
        <f>IF(M22=1,0,IF(G22&lt;&gt;INDEX(properties!$E$2:$E$21,MATCH(B22,properties!$A$2:$A$21,0)),1,0))</f>
        <v/>
      </c>
      <c r="O22" s="9">
        <f>IF(OR(I22&gt;F22,AND(E22&lt;&gt;"cancelled",I22&gt;0)),1,0)</f>
        <v/>
      </c>
      <c r="P22" s="9">
        <f>IF(H22&lt;0,1,0)</f>
        <v/>
      </c>
      <c r="Q22" s="9">
        <f>IF(L22+M22+N22+O22=0,1,0)</f>
        <v/>
      </c>
      <c r="R22" s="9">
        <f>IF(AND(Q22=1,E22&lt;&gt;"cancelled"),COUNTIFS($B$2:$B$152,B22,$Q$2:$Q$152,1,$E$2:$E$152,"&lt;&gt;cancelled",$C$2:$C$152,"&lt;"&amp;D22,$D$2:$D$152,"&gt;"&amp;C22)-1,0)</f>
        <v/>
      </c>
      <c r="S22" s="9">
        <f>IF(AND(Q22=1,OR(R22&gt;0,P22=1)),1,0)</f>
        <v/>
      </c>
      <c r="T22" s="9">
        <f>IF(Q22=0,0,IF(AND(S22=1,Dashboard!$C$7="Нет"),0,1))</f>
        <v/>
      </c>
      <c r="U22" s="9">
        <f>IF(L22=1,"Исключено: дубль",IF(M22=1,"Исключено: нет объекта",IF(N22=1,"Исключено: валюта",IF(O22=1,"Исключено: возврат/статус",IF(S22=1,"На проверке","OK")))))</f>
        <v/>
      </c>
      <c r="V22" s="25">
        <f>SUMIFS(commission_rules!$D$2:$D$21,commission_rules!$A$2:$A$21,B22,commission_rules!$B$2:$B$21,"&lt;="&amp;C22,commission_rules!$C$2:$C$21,"&gt;="&amp;C22)</f>
        <v/>
      </c>
      <c r="W22" s="10">
        <f>F22-I22</f>
        <v/>
      </c>
      <c r="X22" s="10">
        <f>IF(F22=0,0,H22*W22/F22)</f>
        <v/>
      </c>
      <c r="Y22" s="10">
        <f>V22*W22</f>
        <v/>
      </c>
      <c r="Z22" s="10">
        <f>W22-X22</f>
        <v/>
      </c>
      <c r="AA22" s="10">
        <f>SUMIFS(calc_payments!$N$2:$N$77,calc_payments!$B$2:$B$77,A22)</f>
        <v/>
      </c>
      <c r="AB22" s="10">
        <f>AA22-Z22</f>
        <v/>
      </c>
      <c r="AC22" s="9">
        <f>IF(T22=0,"",IF(AA22=0,IF(Z22=0,"нечего получать","нет платежа"),IF(ABS(AB22)&lt;1,"сходится","расхождение")))</f>
        <v/>
      </c>
      <c r="AD22" s="9">
        <f>MAX(0,MIN(D22,Dashboard!$C$6+1)-MAX(C22,Dashboard!$C$5))</f>
        <v/>
      </c>
      <c r="AE22" s="26">
        <f>IF(K22=0,0,AD22/K22)*T22</f>
        <v/>
      </c>
      <c r="AF22" s="10">
        <f>F22*AE22</f>
        <v/>
      </c>
      <c r="AG22" s="10">
        <f>I22*AE22</f>
        <v/>
      </c>
      <c r="AH22" s="10">
        <f>W22*AE22</f>
        <v/>
      </c>
      <c r="AI22" s="10">
        <f>X22*AE22</f>
        <v/>
      </c>
      <c r="AJ22" s="10">
        <f>Y22*AE22</f>
        <v/>
      </c>
      <c r="AK22" s="9">
        <f>IF(AND(T22=1,AD22&gt;0),1,0)</f>
        <v/>
      </c>
      <c r="AL22" s="10">
        <f>Z22*AK22</f>
        <v/>
      </c>
      <c r="AM22" s="10">
        <f>AA22*AK22</f>
        <v/>
      </c>
      <c r="AN22" s="9">
        <f>AD22*T22</f>
        <v/>
      </c>
      <c r="AO22" s="9">
        <f>S22*AK22</f>
        <v/>
      </c>
    </row>
    <row r="23">
      <c r="A23" s="9">
        <f>raw_reservations!A23</f>
        <v/>
      </c>
      <c r="B23" s="9">
        <f>raw_reservations!B23</f>
        <v/>
      </c>
      <c r="C23" s="24">
        <f>raw_reservations!C23</f>
        <v/>
      </c>
      <c r="D23" s="24">
        <f>raw_reservations!D23</f>
        <v/>
      </c>
      <c r="E23" s="9">
        <f>raw_reservations!E23</f>
        <v/>
      </c>
      <c r="F23" s="10">
        <f>raw_reservations!F23</f>
        <v/>
      </c>
      <c r="G23" s="9">
        <f>raw_reservations!G23</f>
        <v/>
      </c>
      <c r="H23" s="10">
        <f>raw_reservations!H23</f>
        <v/>
      </c>
      <c r="I23" s="10">
        <f>raw_reservations!I23</f>
        <v/>
      </c>
      <c r="J23" s="9">
        <f>raw_reservations!J23</f>
        <v/>
      </c>
      <c r="K23" s="9">
        <f>D23-C23</f>
        <v/>
      </c>
      <c r="L23" s="9">
        <f>IF(COUNTIF(A$2:A23,A23)&gt;1,1,0)</f>
        <v/>
      </c>
      <c r="M23" s="9">
        <f>IF(COUNTIF(properties!$A$2:$A$21,B23)=0,1,0)</f>
        <v/>
      </c>
      <c r="N23" s="9">
        <f>IF(M23=1,0,IF(G23&lt;&gt;INDEX(properties!$E$2:$E$21,MATCH(B23,properties!$A$2:$A$21,0)),1,0))</f>
        <v/>
      </c>
      <c r="O23" s="9">
        <f>IF(OR(I23&gt;F23,AND(E23&lt;&gt;"cancelled",I23&gt;0)),1,0)</f>
        <v/>
      </c>
      <c r="P23" s="9">
        <f>IF(H23&lt;0,1,0)</f>
        <v/>
      </c>
      <c r="Q23" s="9">
        <f>IF(L23+M23+N23+O23=0,1,0)</f>
        <v/>
      </c>
      <c r="R23" s="9">
        <f>IF(AND(Q23=1,E23&lt;&gt;"cancelled"),COUNTIFS($B$2:$B$152,B23,$Q$2:$Q$152,1,$E$2:$E$152,"&lt;&gt;cancelled",$C$2:$C$152,"&lt;"&amp;D23,$D$2:$D$152,"&gt;"&amp;C23)-1,0)</f>
        <v/>
      </c>
      <c r="S23" s="9">
        <f>IF(AND(Q23=1,OR(R23&gt;0,P23=1)),1,0)</f>
        <v/>
      </c>
      <c r="T23" s="9">
        <f>IF(Q23=0,0,IF(AND(S23=1,Dashboard!$C$7="Нет"),0,1))</f>
        <v/>
      </c>
      <c r="U23" s="9">
        <f>IF(L23=1,"Исключено: дубль",IF(M23=1,"Исключено: нет объекта",IF(N23=1,"Исключено: валюта",IF(O23=1,"Исключено: возврат/статус",IF(S23=1,"На проверке","OK")))))</f>
        <v/>
      </c>
      <c r="V23" s="25">
        <f>SUMIFS(commission_rules!$D$2:$D$21,commission_rules!$A$2:$A$21,B23,commission_rules!$B$2:$B$21,"&lt;="&amp;C23,commission_rules!$C$2:$C$21,"&gt;="&amp;C23)</f>
        <v/>
      </c>
      <c r="W23" s="10">
        <f>F23-I23</f>
        <v/>
      </c>
      <c r="X23" s="10">
        <f>IF(F23=0,0,H23*W23/F23)</f>
        <v/>
      </c>
      <c r="Y23" s="10">
        <f>V23*W23</f>
        <v/>
      </c>
      <c r="Z23" s="10">
        <f>W23-X23</f>
        <v/>
      </c>
      <c r="AA23" s="10">
        <f>SUMIFS(calc_payments!$N$2:$N$77,calc_payments!$B$2:$B$77,A23)</f>
        <v/>
      </c>
      <c r="AB23" s="10">
        <f>AA23-Z23</f>
        <v/>
      </c>
      <c r="AC23" s="9">
        <f>IF(T23=0,"",IF(AA23=0,IF(Z23=0,"нечего получать","нет платежа"),IF(ABS(AB23)&lt;1,"сходится","расхождение")))</f>
        <v/>
      </c>
      <c r="AD23" s="9">
        <f>MAX(0,MIN(D23,Dashboard!$C$6+1)-MAX(C23,Dashboard!$C$5))</f>
        <v/>
      </c>
      <c r="AE23" s="26">
        <f>IF(K23=0,0,AD23/K23)*T23</f>
        <v/>
      </c>
      <c r="AF23" s="10">
        <f>F23*AE23</f>
        <v/>
      </c>
      <c r="AG23" s="10">
        <f>I23*AE23</f>
        <v/>
      </c>
      <c r="AH23" s="10">
        <f>W23*AE23</f>
        <v/>
      </c>
      <c r="AI23" s="10">
        <f>X23*AE23</f>
        <v/>
      </c>
      <c r="AJ23" s="10">
        <f>Y23*AE23</f>
        <v/>
      </c>
      <c r="AK23" s="9">
        <f>IF(AND(T23=1,AD23&gt;0),1,0)</f>
        <v/>
      </c>
      <c r="AL23" s="10">
        <f>Z23*AK23</f>
        <v/>
      </c>
      <c r="AM23" s="10">
        <f>AA23*AK23</f>
        <v/>
      </c>
      <c r="AN23" s="9">
        <f>AD23*T23</f>
        <v/>
      </c>
      <c r="AO23" s="9">
        <f>S23*AK23</f>
        <v/>
      </c>
    </row>
    <row r="24">
      <c r="A24" s="9">
        <f>raw_reservations!A24</f>
        <v/>
      </c>
      <c r="B24" s="9">
        <f>raw_reservations!B24</f>
        <v/>
      </c>
      <c r="C24" s="24">
        <f>raw_reservations!C24</f>
        <v/>
      </c>
      <c r="D24" s="24">
        <f>raw_reservations!D24</f>
        <v/>
      </c>
      <c r="E24" s="9">
        <f>raw_reservations!E24</f>
        <v/>
      </c>
      <c r="F24" s="10">
        <f>raw_reservations!F24</f>
        <v/>
      </c>
      <c r="G24" s="9">
        <f>raw_reservations!G24</f>
        <v/>
      </c>
      <c r="H24" s="10">
        <f>raw_reservations!H24</f>
        <v/>
      </c>
      <c r="I24" s="10">
        <f>raw_reservations!I24</f>
        <v/>
      </c>
      <c r="J24" s="9">
        <f>raw_reservations!J24</f>
        <v/>
      </c>
      <c r="K24" s="9">
        <f>D24-C24</f>
        <v/>
      </c>
      <c r="L24" s="9">
        <f>IF(COUNTIF(A$2:A24,A24)&gt;1,1,0)</f>
        <v/>
      </c>
      <c r="M24" s="9">
        <f>IF(COUNTIF(properties!$A$2:$A$21,B24)=0,1,0)</f>
        <v/>
      </c>
      <c r="N24" s="9">
        <f>IF(M24=1,0,IF(G24&lt;&gt;INDEX(properties!$E$2:$E$21,MATCH(B24,properties!$A$2:$A$21,0)),1,0))</f>
        <v/>
      </c>
      <c r="O24" s="9">
        <f>IF(OR(I24&gt;F24,AND(E24&lt;&gt;"cancelled",I24&gt;0)),1,0)</f>
        <v/>
      </c>
      <c r="P24" s="9">
        <f>IF(H24&lt;0,1,0)</f>
        <v/>
      </c>
      <c r="Q24" s="9">
        <f>IF(L24+M24+N24+O24=0,1,0)</f>
        <v/>
      </c>
      <c r="R24" s="9">
        <f>IF(AND(Q24=1,E24&lt;&gt;"cancelled"),COUNTIFS($B$2:$B$152,B24,$Q$2:$Q$152,1,$E$2:$E$152,"&lt;&gt;cancelled",$C$2:$C$152,"&lt;"&amp;D24,$D$2:$D$152,"&gt;"&amp;C24)-1,0)</f>
        <v/>
      </c>
      <c r="S24" s="9">
        <f>IF(AND(Q24=1,OR(R24&gt;0,P24=1)),1,0)</f>
        <v/>
      </c>
      <c r="T24" s="9">
        <f>IF(Q24=0,0,IF(AND(S24=1,Dashboard!$C$7="Нет"),0,1))</f>
        <v/>
      </c>
      <c r="U24" s="9">
        <f>IF(L24=1,"Исключено: дубль",IF(M24=1,"Исключено: нет объекта",IF(N24=1,"Исключено: валюта",IF(O24=1,"Исключено: возврат/статус",IF(S24=1,"На проверке","OK")))))</f>
        <v/>
      </c>
      <c r="V24" s="25">
        <f>SUMIFS(commission_rules!$D$2:$D$21,commission_rules!$A$2:$A$21,B24,commission_rules!$B$2:$B$21,"&lt;="&amp;C24,commission_rules!$C$2:$C$21,"&gt;="&amp;C24)</f>
        <v/>
      </c>
      <c r="W24" s="10">
        <f>F24-I24</f>
        <v/>
      </c>
      <c r="X24" s="10">
        <f>IF(F24=0,0,H24*W24/F24)</f>
        <v/>
      </c>
      <c r="Y24" s="10">
        <f>V24*W24</f>
        <v/>
      </c>
      <c r="Z24" s="10">
        <f>W24-X24</f>
        <v/>
      </c>
      <c r="AA24" s="10">
        <f>SUMIFS(calc_payments!$N$2:$N$77,calc_payments!$B$2:$B$77,A24)</f>
        <v/>
      </c>
      <c r="AB24" s="10">
        <f>AA24-Z24</f>
        <v/>
      </c>
      <c r="AC24" s="9">
        <f>IF(T24=0,"",IF(AA24=0,IF(Z24=0,"нечего получать","нет платежа"),IF(ABS(AB24)&lt;1,"сходится","расхождение")))</f>
        <v/>
      </c>
      <c r="AD24" s="9">
        <f>MAX(0,MIN(D24,Dashboard!$C$6+1)-MAX(C24,Dashboard!$C$5))</f>
        <v/>
      </c>
      <c r="AE24" s="26">
        <f>IF(K24=0,0,AD24/K24)*T24</f>
        <v/>
      </c>
      <c r="AF24" s="10">
        <f>F24*AE24</f>
        <v/>
      </c>
      <c r="AG24" s="10">
        <f>I24*AE24</f>
        <v/>
      </c>
      <c r="AH24" s="10">
        <f>W24*AE24</f>
        <v/>
      </c>
      <c r="AI24" s="10">
        <f>X24*AE24</f>
        <v/>
      </c>
      <c r="AJ24" s="10">
        <f>Y24*AE24</f>
        <v/>
      </c>
      <c r="AK24" s="9">
        <f>IF(AND(T24=1,AD24&gt;0),1,0)</f>
        <v/>
      </c>
      <c r="AL24" s="10">
        <f>Z24*AK24</f>
        <v/>
      </c>
      <c r="AM24" s="10">
        <f>AA24*AK24</f>
        <v/>
      </c>
      <c r="AN24" s="9">
        <f>AD24*T24</f>
        <v/>
      </c>
      <c r="AO24" s="9">
        <f>S24*AK24</f>
        <v/>
      </c>
    </row>
    <row r="25">
      <c r="A25" s="9">
        <f>raw_reservations!A25</f>
        <v/>
      </c>
      <c r="B25" s="9">
        <f>raw_reservations!B25</f>
        <v/>
      </c>
      <c r="C25" s="24">
        <f>raw_reservations!C25</f>
        <v/>
      </c>
      <c r="D25" s="24">
        <f>raw_reservations!D25</f>
        <v/>
      </c>
      <c r="E25" s="9">
        <f>raw_reservations!E25</f>
        <v/>
      </c>
      <c r="F25" s="10">
        <f>raw_reservations!F25</f>
        <v/>
      </c>
      <c r="G25" s="9">
        <f>raw_reservations!G25</f>
        <v/>
      </c>
      <c r="H25" s="10">
        <f>raw_reservations!H25</f>
        <v/>
      </c>
      <c r="I25" s="10">
        <f>raw_reservations!I25</f>
        <v/>
      </c>
      <c r="J25" s="9">
        <f>raw_reservations!J25</f>
        <v/>
      </c>
      <c r="K25" s="9">
        <f>D25-C25</f>
        <v/>
      </c>
      <c r="L25" s="9">
        <f>IF(COUNTIF(A$2:A25,A25)&gt;1,1,0)</f>
        <v/>
      </c>
      <c r="M25" s="9">
        <f>IF(COUNTIF(properties!$A$2:$A$21,B25)=0,1,0)</f>
        <v/>
      </c>
      <c r="N25" s="9">
        <f>IF(M25=1,0,IF(G25&lt;&gt;INDEX(properties!$E$2:$E$21,MATCH(B25,properties!$A$2:$A$21,0)),1,0))</f>
        <v/>
      </c>
      <c r="O25" s="9">
        <f>IF(OR(I25&gt;F25,AND(E25&lt;&gt;"cancelled",I25&gt;0)),1,0)</f>
        <v/>
      </c>
      <c r="P25" s="9">
        <f>IF(H25&lt;0,1,0)</f>
        <v/>
      </c>
      <c r="Q25" s="9">
        <f>IF(L25+M25+N25+O25=0,1,0)</f>
        <v/>
      </c>
      <c r="R25" s="9">
        <f>IF(AND(Q25=1,E25&lt;&gt;"cancelled"),COUNTIFS($B$2:$B$152,B25,$Q$2:$Q$152,1,$E$2:$E$152,"&lt;&gt;cancelled",$C$2:$C$152,"&lt;"&amp;D25,$D$2:$D$152,"&gt;"&amp;C25)-1,0)</f>
        <v/>
      </c>
      <c r="S25" s="9">
        <f>IF(AND(Q25=1,OR(R25&gt;0,P25=1)),1,0)</f>
        <v/>
      </c>
      <c r="T25" s="9">
        <f>IF(Q25=0,0,IF(AND(S25=1,Dashboard!$C$7="Нет"),0,1))</f>
        <v/>
      </c>
      <c r="U25" s="9">
        <f>IF(L25=1,"Исключено: дубль",IF(M25=1,"Исключено: нет объекта",IF(N25=1,"Исключено: валюта",IF(O25=1,"Исключено: возврат/статус",IF(S25=1,"На проверке","OK")))))</f>
        <v/>
      </c>
      <c r="V25" s="25">
        <f>SUMIFS(commission_rules!$D$2:$D$21,commission_rules!$A$2:$A$21,B25,commission_rules!$B$2:$B$21,"&lt;="&amp;C25,commission_rules!$C$2:$C$21,"&gt;="&amp;C25)</f>
        <v/>
      </c>
      <c r="W25" s="10">
        <f>F25-I25</f>
        <v/>
      </c>
      <c r="X25" s="10">
        <f>IF(F25=0,0,H25*W25/F25)</f>
        <v/>
      </c>
      <c r="Y25" s="10">
        <f>V25*W25</f>
        <v/>
      </c>
      <c r="Z25" s="10">
        <f>W25-X25</f>
        <v/>
      </c>
      <c r="AA25" s="10">
        <f>SUMIFS(calc_payments!$N$2:$N$77,calc_payments!$B$2:$B$77,A25)</f>
        <v/>
      </c>
      <c r="AB25" s="10">
        <f>AA25-Z25</f>
        <v/>
      </c>
      <c r="AC25" s="9">
        <f>IF(T25=0,"",IF(AA25=0,IF(Z25=0,"нечего получать","нет платежа"),IF(ABS(AB25)&lt;1,"сходится","расхождение")))</f>
        <v/>
      </c>
      <c r="AD25" s="9">
        <f>MAX(0,MIN(D25,Dashboard!$C$6+1)-MAX(C25,Dashboard!$C$5))</f>
        <v/>
      </c>
      <c r="AE25" s="26">
        <f>IF(K25=0,0,AD25/K25)*T25</f>
        <v/>
      </c>
      <c r="AF25" s="10">
        <f>F25*AE25</f>
        <v/>
      </c>
      <c r="AG25" s="10">
        <f>I25*AE25</f>
        <v/>
      </c>
      <c r="AH25" s="10">
        <f>W25*AE25</f>
        <v/>
      </c>
      <c r="AI25" s="10">
        <f>X25*AE25</f>
        <v/>
      </c>
      <c r="AJ25" s="10">
        <f>Y25*AE25</f>
        <v/>
      </c>
      <c r="AK25" s="9">
        <f>IF(AND(T25=1,AD25&gt;0),1,0)</f>
        <v/>
      </c>
      <c r="AL25" s="10">
        <f>Z25*AK25</f>
        <v/>
      </c>
      <c r="AM25" s="10">
        <f>AA25*AK25</f>
        <v/>
      </c>
      <c r="AN25" s="9">
        <f>AD25*T25</f>
        <v/>
      </c>
      <c r="AO25" s="9">
        <f>S25*AK25</f>
        <v/>
      </c>
    </row>
    <row r="26">
      <c r="A26" s="9">
        <f>raw_reservations!A26</f>
        <v/>
      </c>
      <c r="B26" s="9">
        <f>raw_reservations!B26</f>
        <v/>
      </c>
      <c r="C26" s="24">
        <f>raw_reservations!C26</f>
        <v/>
      </c>
      <c r="D26" s="24">
        <f>raw_reservations!D26</f>
        <v/>
      </c>
      <c r="E26" s="9">
        <f>raw_reservations!E26</f>
        <v/>
      </c>
      <c r="F26" s="10">
        <f>raw_reservations!F26</f>
        <v/>
      </c>
      <c r="G26" s="9">
        <f>raw_reservations!G26</f>
        <v/>
      </c>
      <c r="H26" s="10">
        <f>raw_reservations!H26</f>
        <v/>
      </c>
      <c r="I26" s="10">
        <f>raw_reservations!I26</f>
        <v/>
      </c>
      <c r="J26" s="9">
        <f>raw_reservations!J26</f>
        <v/>
      </c>
      <c r="K26" s="9">
        <f>D26-C26</f>
        <v/>
      </c>
      <c r="L26" s="9">
        <f>IF(COUNTIF(A$2:A26,A26)&gt;1,1,0)</f>
        <v/>
      </c>
      <c r="M26" s="9">
        <f>IF(COUNTIF(properties!$A$2:$A$21,B26)=0,1,0)</f>
        <v/>
      </c>
      <c r="N26" s="9">
        <f>IF(M26=1,0,IF(G26&lt;&gt;INDEX(properties!$E$2:$E$21,MATCH(B26,properties!$A$2:$A$21,0)),1,0))</f>
        <v/>
      </c>
      <c r="O26" s="9">
        <f>IF(OR(I26&gt;F26,AND(E26&lt;&gt;"cancelled",I26&gt;0)),1,0)</f>
        <v/>
      </c>
      <c r="P26" s="9">
        <f>IF(H26&lt;0,1,0)</f>
        <v/>
      </c>
      <c r="Q26" s="9">
        <f>IF(L26+M26+N26+O26=0,1,0)</f>
        <v/>
      </c>
      <c r="R26" s="9">
        <f>IF(AND(Q26=1,E26&lt;&gt;"cancelled"),COUNTIFS($B$2:$B$152,B26,$Q$2:$Q$152,1,$E$2:$E$152,"&lt;&gt;cancelled",$C$2:$C$152,"&lt;"&amp;D26,$D$2:$D$152,"&gt;"&amp;C26)-1,0)</f>
        <v/>
      </c>
      <c r="S26" s="9">
        <f>IF(AND(Q26=1,OR(R26&gt;0,P26=1)),1,0)</f>
        <v/>
      </c>
      <c r="T26" s="9">
        <f>IF(Q26=0,0,IF(AND(S26=1,Dashboard!$C$7="Нет"),0,1))</f>
        <v/>
      </c>
      <c r="U26" s="9">
        <f>IF(L26=1,"Исключено: дубль",IF(M26=1,"Исключено: нет объекта",IF(N26=1,"Исключено: валюта",IF(O26=1,"Исключено: возврат/статус",IF(S26=1,"На проверке","OK")))))</f>
        <v/>
      </c>
      <c r="V26" s="25">
        <f>SUMIFS(commission_rules!$D$2:$D$21,commission_rules!$A$2:$A$21,B26,commission_rules!$B$2:$B$21,"&lt;="&amp;C26,commission_rules!$C$2:$C$21,"&gt;="&amp;C26)</f>
        <v/>
      </c>
      <c r="W26" s="10">
        <f>F26-I26</f>
        <v/>
      </c>
      <c r="X26" s="10">
        <f>IF(F26=0,0,H26*W26/F26)</f>
        <v/>
      </c>
      <c r="Y26" s="10">
        <f>V26*W26</f>
        <v/>
      </c>
      <c r="Z26" s="10">
        <f>W26-X26</f>
        <v/>
      </c>
      <c r="AA26" s="10">
        <f>SUMIFS(calc_payments!$N$2:$N$77,calc_payments!$B$2:$B$77,A26)</f>
        <v/>
      </c>
      <c r="AB26" s="10">
        <f>AA26-Z26</f>
        <v/>
      </c>
      <c r="AC26" s="9">
        <f>IF(T26=0,"",IF(AA26=0,IF(Z26=0,"нечего получать","нет платежа"),IF(ABS(AB26)&lt;1,"сходится","расхождение")))</f>
        <v/>
      </c>
      <c r="AD26" s="9">
        <f>MAX(0,MIN(D26,Dashboard!$C$6+1)-MAX(C26,Dashboard!$C$5))</f>
        <v/>
      </c>
      <c r="AE26" s="26">
        <f>IF(K26=0,0,AD26/K26)*T26</f>
        <v/>
      </c>
      <c r="AF26" s="10">
        <f>F26*AE26</f>
        <v/>
      </c>
      <c r="AG26" s="10">
        <f>I26*AE26</f>
        <v/>
      </c>
      <c r="AH26" s="10">
        <f>W26*AE26</f>
        <v/>
      </c>
      <c r="AI26" s="10">
        <f>X26*AE26</f>
        <v/>
      </c>
      <c r="AJ26" s="10">
        <f>Y26*AE26</f>
        <v/>
      </c>
      <c r="AK26" s="9">
        <f>IF(AND(T26=1,AD26&gt;0),1,0)</f>
        <v/>
      </c>
      <c r="AL26" s="10">
        <f>Z26*AK26</f>
        <v/>
      </c>
      <c r="AM26" s="10">
        <f>AA26*AK26</f>
        <v/>
      </c>
      <c r="AN26" s="9">
        <f>AD26*T26</f>
        <v/>
      </c>
      <c r="AO26" s="9">
        <f>S26*AK26</f>
        <v/>
      </c>
    </row>
    <row r="27">
      <c r="A27" s="9">
        <f>raw_reservations!A27</f>
        <v/>
      </c>
      <c r="B27" s="9">
        <f>raw_reservations!B27</f>
        <v/>
      </c>
      <c r="C27" s="24">
        <f>raw_reservations!C27</f>
        <v/>
      </c>
      <c r="D27" s="24">
        <f>raw_reservations!D27</f>
        <v/>
      </c>
      <c r="E27" s="9">
        <f>raw_reservations!E27</f>
        <v/>
      </c>
      <c r="F27" s="10">
        <f>raw_reservations!F27</f>
        <v/>
      </c>
      <c r="G27" s="9">
        <f>raw_reservations!G27</f>
        <v/>
      </c>
      <c r="H27" s="10">
        <f>raw_reservations!H27</f>
        <v/>
      </c>
      <c r="I27" s="10">
        <f>raw_reservations!I27</f>
        <v/>
      </c>
      <c r="J27" s="9">
        <f>raw_reservations!J27</f>
        <v/>
      </c>
      <c r="K27" s="9">
        <f>D27-C27</f>
        <v/>
      </c>
      <c r="L27" s="9">
        <f>IF(COUNTIF(A$2:A27,A27)&gt;1,1,0)</f>
        <v/>
      </c>
      <c r="M27" s="9">
        <f>IF(COUNTIF(properties!$A$2:$A$21,B27)=0,1,0)</f>
        <v/>
      </c>
      <c r="N27" s="9">
        <f>IF(M27=1,0,IF(G27&lt;&gt;INDEX(properties!$E$2:$E$21,MATCH(B27,properties!$A$2:$A$21,0)),1,0))</f>
        <v/>
      </c>
      <c r="O27" s="9">
        <f>IF(OR(I27&gt;F27,AND(E27&lt;&gt;"cancelled",I27&gt;0)),1,0)</f>
        <v/>
      </c>
      <c r="P27" s="9">
        <f>IF(H27&lt;0,1,0)</f>
        <v/>
      </c>
      <c r="Q27" s="9">
        <f>IF(L27+M27+N27+O27=0,1,0)</f>
        <v/>
      </c>
      <c r="R27" s="9">
        <f>IF(AND(Q27=1,E27&lt;&gt;"cancelled"),COUNTIFS($B$2:$B$152,B27,$Q$2:$Q$152,1,$E$2:$E$152,"&lt;&gt;cancelled",$C$2:$C$152,"&lt;"&amp;D27,$D$2:$D$152,"&gt;"&amp;C27)-1,0)</f>
        <v/>
      </c>
      <c r="S27" s="9">
        <f>IF(AND(Q27=1,OR(R27&gt;0,P27=1)),1,0)</f>
        <v/>
      </c>
      <c r="T27" s="9">
        <f>IF(Q27=0,0,IF(AND(S27=1,Dashboard!$C$7="Нет"),0,1))</f>
        <v/>
      </c>
      <c r="U27" s="9">
        <f>IF(L27=1,"Исключено: дубль",IF(M27=1,"Исключено: нет объекта",IF(N27=1,"Исключено: валюта",IF(O27=1,"Исключено: возврат/статус",IF(S27=1,"На проверке","OK")))))</f>
        <v/>
      </c>
      <c r="V27" s="25">
        <f>SUMIFS(commission_rules!$D$2:$D$21,commission_rules!$A$2:$A$21,B27,commission_rules!$B$2:$B$21,"&lt;="&amp;C27,commission_rules!$C$2:$C$21,"&gt;="&amp;C27)</f>
        <v/>
      </c>
      <c r="W27" s="10">
        <f>F27-I27</f>
        <v/>
      </c>
      <c r="X27" s="10">
        <f>IF(F27=0,0,H27*W27/F27)</f>
        <v/>
      </c>
      <c r="Y27" s="10">
        <f>V27*W27</f>
        <v/>
      </c>
      <c r="Z27" s="10">
        <f>W27-X27</f>
        <v/>
      </c>
      <c r="AA27" s="10">
        <f>SUMIFS(calc_payments!$N$2:$N$77,calc_payments!$B$2:$B$77,A27)</f>
        <v/>
      </c>
      <c r="AB27" s="10">
        <f>AA27-Z27</f>
        <v/>
      </c>
      <c r="AC27" s="9">
        <f>IF(T27=0,"",IF(AA27=0,IF(Z27=0,"нечего получать","нет платежа"),IF(ABS(AB27)&lt;1,"сходится","расхождение")))</f>
        <v/>
      </c>
      <c r="AD27" s="9">
        <f>MAX(0,MIN(D27,Dashboard!$C$6+1)-MAX(C27,Dashboard!$C$5))</f>
        <v/>
      </c>
      <c r="AE27" s="26">
        <f>IF(K27=0,0,AD27/K27)*T27</f>
        <v/>
      </c>
      <c r="AF27" s="10">
        <f>F27*AE27</f>
        <v/>
      </c>
      <c r="AG27" s="10">
        <f>I27*AE27</f>
        <v/>
      </c>
      <c r="AH27" s="10">
        <f>W27*AE27</f>
        <v/>
      </c>
      <c r="AI27" s="10">
        <f>X27*AE27</f>
        <v/>
      </c>
      <c r="AJ27" s="10">
        <f>Y27*AE27</f>
        <v/>
      </c>
      <c r="AK27" s="9">
        <f>IF(AND(T27=1,AD27&gt;0),1,0)</f>
        <v/>
      </c>
      <c r="AL27" s="10">
        <f>Z27*AK27</f>
        <v/>
      </c>
      <c r="AM27" s="10">
        <f>AA27*AK27</f>
        <v/>
      </c>
      <c r="AN27" s="9">
        <f>AD27*T27</f>
        <v/>
      </c>
      <c r="AO27" s="9">
        <f>S27*AK27</f>
        <v/>
      </c>
    </row>
    <row r="28">
      <c r="A28" s="9">
        <f>raw_reservations!A28</f>
        <v/>
      </c>
      <c r="B28" s="9">
        <f>raw_reservations!B28</f>
        <v/>
      </c>
      <c r="C28" s="24">
        <f>raw_reservations!C28</f>
        <v/>
      </c>
      <c r="D28" s="24">
        <f>raw_reservations!D28</f>
        <v/>
      </c>
      <c r="E28" s="9">
        <f>raw_reservations!E28</f>
        <v/>
      </c>
      <c r="F28" s="10">
        <f>raw_reservations!F28</f>
        <v/>
      </c>
      <c r="G28" s="9">
        <f>raw_reservations!G28</f>
        <v/>
      </c>
      <c r="H28" s="10">
        <f>raw_reservations!H28</f>
        <v/>
      </c>
      <c r="I28" s="10">
        <f>raw_reservations!I28</f>
        <v/>
      </c>
      <c r="J28" s="9">
        <f>raw_reservations!J28</f>
        <v/>
      </c>
      <c r="K28" s="9">
        <f>D28-C28</f>
        <v/>
      </c>
      <c r="L28" s="9">
        <f>IF(COUNTIF(A$2:A28,A28)&gt;1,1,0)</f>
        <v/>
      </c>
      <c r="M28" s="9">
        <f>IF(COUNTIF(properties!$A$2:$A$21,B28)=0,1,0)</f>
        <v/>
      </c>
      <c r="N28" s="9">
        <f>IF(M28=1,0,IF(G28&lt;&gt;INDEX(properties!$E$2:$E$21,MATCH(B28,properties!$A$2:$A$21,0)),1,0))</f>
        <v/>
      </c>
      <c r="O28" s="9">
        <f>IF(OR(I28&gt;F28,AND(E28&lt;&gt;"cancelled",I28&gt;0)),1,0)</f>
        <v/>
      </c>
      <c r="P28" s="9">
        <f>IF(H28&lt;0,1,0)</f>
        <v/>
      </c>
      <c r="Q28" s="9">
        <f>IF(L28+M28+N28+O28=0,1,0)</f>
        <v/>
      </c>
      <c r="R28" s="9">
        <f>IF(AND(Q28=1,E28&lt;&gt;"cancelled"),COUNTIFS($B$2:$B$152,B28,$Q$2:$Q$152,1,$E$2:$E$152,"&lt;&gt;cancelled",$C$2:$C$152,"&lt;"&amp;D28,$D$2:$D$152,"&gt;"&amp;C28)-1,0)</f>
        <v/>
      </c>
      <c r="S28" s="9">
        <f>IF(AND(Q28=1,OR(R28&gt;0,P28=1)),1,0)</f>
        <v/>
      </c>
      <c r="T28" s="9">
        <f>IF(Q28=0,0,IF(AND(S28=1,Dashboard!$C$7="Нет"),0,1))</f>
        <v/>
      </c>
      <c r="U28" s="9">
        <f>IF(L28=1,"Исключено: дубль",IF(M28=1,"Исключено: нет объекта",IF(N28=1,"Исключено: валюта",IF(O28=1,"Исключено: возврат/статус",IF(S28=1,"На проверке","OK")))))</f>
        <v/>
      </c>
      <c r="V28" s="25">
        <f>SUMIFS(commission_rules!$D$2:$D$21,commission_rules!$A$2:$A$21,B28,commission_rules!$B$2:$B$21,"&lt;="&amp;C28,commission_rules!$C$2:$C$21,"&gt;="&amp;C28)</f>
        <v/>
      </c>
      <c r="W28" s="10">
        <f>F28-I28</f>
        <v/>
      </c>
      <c r="X28" s="10">
        <f>IF(F28=0,0,H28*W28/F28)</f>
        <v/>
      </c>
      <c r="Y28" s="10">
        <f>V28*W28</f>
        <v/>
      </c>
      <c r="Z28" s="10">
        <f>W28-X28</f>
        <v/>
      </c>
      <c r="AA28" s="10">
        <f>SUMIFS(calc_payments!$N$2:$N$77,calc_payments!$B$2:$B$77,A28)</f>
        <v/>
      </c>
      <c r="AB28" s="10">
        <f>AA28-Z28</f>
        <v/>
      </c>
      <c r="AC28" s="9">
        <f>IF(T28=0,"",IF(AA28=0,IF(Z28=0,"нечего получать","нет платежа"),IF(ABS(AB28)&lt;1,"сходится","расхождение")))</f>
        <v/>
      </c>
      <c r="AD28" s="9">
        <f>MAX(0,MIN(D28,Dashboard!$C$6+1)-MAX(C28,Dashboard!$C$5))</f>
        <v/>
      </c>
      <c r="AE28" s="26">
        <f>IF(K28=0,0,AD28/K28)*T28</f>
        <v/>
      </c>
      <c r="AF28" s="10">
        <f>F28*AE28</f>
        <v/>
      </c>
      <c r="AG28" s="10">
        <f>I28*AE28</f>
        <v/>
      </c>
      <c r="AH28" s="10">
        <f>W28*AE28</f>
        <v/>
      </c>
      <c r="AI28" s="10">
        <f>X28*AE28</f>
        <v/>
      </c>
      <c r="AJ28" s="10">
        <f>Y28*AE28</f>
        <v/>
      </c>
      <c r="AK28" s="9">
        <f>IF(AND(T28=1,AD28&gt;0),1,0)</f>
        <v/>
      </c>
      <c r="AL28" s="10">
        <f>Z28*AK28</f>
        <v/>
      </c>
      <c r="AM28" s="10">
        <f>AA28*AK28</f>
        <v/>
      </c>
      <c r="AN28" s="9">
        <f>AD28*T28</f>
        <v/>
      </c>
      <c r="AO28" s="9">
        <f>S28*AK28</f>
        <v/>
      </c>
    </row>
    <row r="29">
      <c r="A29" s="9">
        <f>raw_reservations!A29</f>
        <v/>
      </c>
      <c r="B29" s="9">
        <f>raw_reservations!B29</f>
        <v/>
      </c>
      <c r="C29" s="24">
        <f>raw_reservations!C29</f>
        <v/>
      </c>
      <c r="D29" s="24">
        <f>raw_reservations!D29</f>
        <v/>
      </c>
      <c r="E29" s="9">
        <f>raw_reservations!E29</f>
        <v/>
      </c>
      <c r="F29" s="10">
        <f>raw_reservations!F29</f>
        <v/>
      </c>
      <c r="G29" s="9">
        <f>raw_reservations!G29</f>
        <v/>
      </c>
      <c r="H29" s="10">
        <f>raw_reservations!H29</f>
        <v/>
      </c>
      <c r="I29" s="10">
        <f>raw_reservations!I29</f>
        <v/>
      </c>
      <c r="J29" s="9">
        <f>raw_reservations!J29</f>
        <v/>
      </c>
      <c r="K29" s="9">
        <f>D29-C29</f>
        <v/>
      </c>
      <c r="L29" s="9">
        <f>IF(COUNTIF(A$2:A29,A29)&gt;1,1,0)</f>
        <v/>
      </c>
      <c r="M29" s="9">
        <f>IF(COUNTIF(properties!$A$2:$A$21,B29)=0,1,0)</f>
        <v/>
      </c>
      <c r="N29" s="9">
        <f>IF(M29=1,0,IF(G29&lt;&gt;INDEX(properties!$E$2:$E$21,MATCH(B29,properties!$A$2:$A$21,0)),1,0))</f>
        <v/>
      </c>
      <c r="O29" s="9">
        <f>IF(OR(I29&gt;F29,AND(E29&lt;&gt;"cancelled",I29&gt;0)),1,0)</f>
        <v/>
      </c>
      <c r="P29" s="9">
        <f>IF(H29&lt;0,1,0)</f>
        <v/>
      </c>
      <c r="Q29" s="9">
        <f>IF(L29+M29+N29+O29=0,1,0)</f>
        <v/>
      </c>
      <c r="R29" s="9">
        <f>IF(AND(Q29=1,E29&lt;&gt;"cancelled"),COUNTIFS($B$2:$B$152,B29,$Q$2:$Q$152,1,$E$2:$E$152,"&lt;&gt;cancelled",$C$2:$C$152,"&lt;"&amp;D29,$D$2:$D$152,"&gt;"&amp;C29)-1,0)</f>
        <v/>
      </c>
      <c r="S29" s="9">
        <f>IF(AND(Q29=1,OR(R29&gt;0,P29=1)),1,0)</f>
        <v/>
      </c>
      <c r="T29" s="9">
        <f>IF(Q29=0,0,IF(AND(S29=1,Dashboard!$C$7="Нет"),0,1))</f>
        <v/>
      </c>
      <c r="U29" s="9">
        <f>IF(L29=1,"Исключено: дубль",IF(M29=1,"Исключено: нет объекта",IF(N29=1,"Исключено: валюта",IF(O29=1,"Исключено: возврат/статус",IF(S29=1,"На проверке","OK")))))</f>
        <v/>
      </c>
      <c r="V29" s="25">
        <f>SUMIFS(commission_rules!$D$2:$D$21,commission_rules!$A$2:$A$21,B29,commission_rules!$B$2:$B$21,"&lt;="&amp;C29,commission_rules!$C$2:$C$21,"&gt;="&amp;C29)</f>
        <v/>
      </c>
      <c r="W29" s="10">
        <f>F29-I29</f>
        <v/>
      </c>
      <c r="X29" s="10">
        <f>IF(F29=0,0,H29*W29/F29)</f>
        <v/>
      </c>
      <c r="Y29" s="10">
        <f>V29*W29</f>
        <v/>
      </c>
      <c r="Z29" s="10">
        <f>W29-X29</f>
        <v/>
      </c>
      <c r="AA29" s="10">
        <f>SUMIFS(calc_payments!$N$2:$N$77,calc_payments!$B$2:$B$77,A29)</f>
        <v/>
      </c>
      <c r="AB29" s="10">
        <f>AA29-Z29</f>
        <v/>
      </c>
      <c r="AC29" s="9">
        <f>IF(T29=0,"",IF(AA29=0,IF(Z29=0,"нечего получать","нет платежа"),IF(ABS(AB29)&lt;1,"сходится","расхождение")))</f>
        <v/>
      </c>
      <c r="AD29" s="9">
        <f>MAX(0,MIN(D29,Dashboard!$C$6+1)-MAX(C29,Dashboard!$C$5))</f>
        <v/>
      </c>
      <c r="AE29" s="26">
        <f>IF(K29=0,0,AD29/K29)*T29</f>
        <v/>
      </c>
      <c r="AF29" s="10">
        <f>F29*AE29</f>
        <v/>
      </c>
      <c r="AG29" s="10">
        <f>I29*AE29</f>
        <v/>
      </c>
      <c r="AH29" s="10">
        <f>W29*AE29</f>
        <v/>
      </c>
      <c r="AI29" s="10">
        <f>X29*AE29</f>
        <v/>
      </c>
      <c r="AJ29" s="10">
        <f>Y29*AE29</f>
        <v/>
      </c>
      <c r="AK29" s="9">
        <f>IF(AND(T29=1,AD29&gt;0),1,0)</f>
        <v/>
      </c>
      <c r="AL29" s="10">
        <f>Z29*AK29</f>
        <v/>
      </c>
      <c r="AM29" s="10">
        <f>AA29*AK29</f>
        <v/>
      </c>
      <c r="AN29" s="9">
        <f>AD29*T29</f>
        <v/>
      </c>
      <c r="AO29" s="9">
        <f>S29*AK29</f>
        <v/>
      </c>
    </row>
    <row r="30">
      <c r="A30" s="9">
        <f>raw_reservations!A30</f>
        <v/>
      </c>
      <c r="B30" s="9">
        <f>raw_reservations!B30</f>
        <v/>
      </c>
      <c r="C30" s="24">
        <f>raw_reservations!C30</f>
        <v/>
      </c>
      <c r="D30" s="24">
        <f>raw_reservations!D30</f>
        <v/>
      </c>
      <c r="E30" s="9">
        <f>raw_reservations!E30</f>
        <v/>
      </c>
      <c r="F30" s="10">
        <f>raw_reservations!F30</f>
        <v/>
      </c>
      <c r="G30" s="9">
        <f>raw_reservations!G30</f>
        <v/>
      </c>
      <c r="H30" s="10">
        <f>raw_reservations!H30</f>
        <v/>
      </c>
      <c r="I30" s="10">
        <f>raw_reservations!I30</f>
        <v/>
      </c>
      <c r="J30" s="9">
        <f>raw_reservations!J30</f>
        <v/>
      </c>
      <c r="K30" s="9">
        <f>D30-C30</f>
        <v/>
      </c>
      <c r="L30" s="9">
        <f>IF(COUNTIF(A$2:A30,A30)&gt;1,1,0)</f>
        <v/>
      </c>
      <c r="M30" s="9">
        <f>IF(COUNTIF(properties!$A$2:$A$21,B30)=0,1,0)</f>
        <v/>
      </c>
      <c r="N30" s="9">
        <f>IF(M30=1,0,IF(G30&lt;&gt;INDEX(properties!$E$2:$E$21,MATCH(B30,properties!$A$2:$A$21,0)),1,0))</f>
        <v/>
      </c>
      <c r="O30" s="9">
        <f>IF(OR(I30&gt;F30,AND(E30&lt;&gt;"cancelled",I30&gt;0)),1,0)</f>
        <v/>
      </c>
      <c r="P30" s="9">
        <f>IF(H30&lt;0,1,0)</f>
        <v/>
      </c>
      <c r="Q30" s="9">
        <f>IF(L30+M30+N30+O30=0,1,0)</f>
        <v/>
      </c>
      <c r="R30" s="9">
        <f>IF(AND(Q30=1,E30&lt;&gt;"cancelled"),COUNTIFS($B$2:$B$152,B30,$Q$2:$Q$152,1,$E$2:$E$152,"&lt;&gt;cancelled",$C$2:$C$152,"&lt;"&amp;D30,$D$2:$D$152,"&gt;"&amp;C30)-1,0)</f>
        <v/>
      </c>
      <c r="S30" s="9">
        <f>IF(AND(Q30=1,OR(R30&gt;0,P30=1)),1,0)</f>
        <v/>
      </c>
      <c r="T30" s="9">
        <f>IF(Q30=0,0,IF(AND(S30=1,Dashboard!$C$7="Нет"),0,1))</f>
        <v/>
      </c>
      <c r="U30" s="9">
        <f>IF(L30=1,"Исключено: дубль",IF(M30=1,"Исключено: нет объекта",IF(N30=1,"Исключено: валюта",IF(O30=1,"Исключено: возврат/статус",IF(S30=1,"На проверке","OK")))))</f>
        <v/>
      </c>
      <c r="V30" s="25">
        <f>SUMIFS(commission_rules!$D$2:$D$21,commission_rules!$A$2:$A$21,B30,commission_rules!$B$2:$B$21,"&lt;="&amp;C30,commission_rules!$C$2:$C$21,"&gt;="&amp;C30)</f>
        <v/>
      </c>
      <c r="W30" s="10">
        <f>F30-I30</f>
        <v/>
      </c>
      <c r="X30" s="10">
        <f>IF(F30=0,0,H30*W30/F30)</f>
        <v/>
      </c>
      <c r="Y30" s="10">
        <f>V30*W30</f>
        <v/>
      </c>
      <c r="Z30" s="10">
        <f>W30-X30</f>
        <v/>
      </c>
      <c r="AA30" s="10">
        <f>SUMIFS(calc_payments!$N$2:$N$77,calc_payments!$B$2:$B$77,A30)</f>
        <v/>
      </c>
      <c r="AB30" s="10">
        <f>AA30-Z30</f>
        <v/>
      </c>
      <c r="AC30" s="9">
        <f>IF(T30=0,"",IF(AA30=0,IF(Z30=0,"нечего получать","нет платежа"),IF(ABS(AB30)&lt;1,"сходится","расхождение")))</f>
        <v/>
      </c>
      <c r="AD30" s="9">
        <f>MAX(0,MIN(D30,Dashboard!$C$6+1)-MAX(C30,Dashboard!$C$5))</f>
        <v/>
      </c>
      <c r="AE30" s="26">
        <f>IF(K30=0,0,AD30/K30)*T30</f>
        <v/>
      </c>
      <c r="AF30" s="10">
        <f>F30*AE30</f>
        <v/>
      </c>
      <c r="AG30" s="10">
        <f>I30*AE30</f>
        <v/>
      </c>
      <c r="AH30" s="10">
        <f>W30*AE30</f>
        <v/>
      </c>
      <c r="AI30" s="10">
        <f>X30*AE30</f>
        <v/>
      </c>
      <c r="AJ30" s="10">
        <f>Y30*AE30</f>
        <v/>
      </c>
      <c r="AK30" s="9">
        <f>IF(AND(T30=1,AD30&gt;0),1,0)</f>
        <v/>
      </c>
      <c r="AL30" s="10">
        <f>Z30*AK30</f>
        <v/>
      </c>
      <c r="AM30" s="10">
        <f>AA30*AK30</f>
        <v/>
      </c>
      <c r="AN30" s="9">
        <f>AD30*T30</f>
        <v/>
      </c>
      <c r="AO30" s="9">
        <f>S30*AK30</f>
        <v/>
      </c>
    </row>
    <row r="31">
      <c r="A31" s="9">
        <f>raw_reservations!A31</f>
        <v/>
      </c>
      <c r="B31" s="9">
        <f>raw_reservations!B31</f>
        <v/>
      </c>
      <c r="C31" s="24">
        <f>raw_reservations!C31</f>
        <v/>
      </c>
      <c r="D31" s="24">
        <f>raw_reservations!D31</f>
        <v/>
      </c>
      <c r="E31" s="9">
        <f>raw_reservations!E31</f>
        <v/>
      </c>
      <c r="F31" s="10">
        <f>raw_reservations!F31</f>
        <v/>
      </c>
      <c r="G31" s="9">
        <f>raw_reservations!G31</f>
        <v/>
      </c>
      <c r="H31" s="10">
        <f>raw_reservations!H31</f>
        <v/>
      </c>
      <c r="I31" s="10">
        <f>raw_reservations!I31</f>
        <v/>
      </c>
      <c r="J31" s="9">
        <f>raw_reservations!J31</f>
        <v/>
      </c>
      <c r="K31" s="9">
        <f>D31-C31</f>
        <v/>
      </c>
      <c r="L31" s="9">
        <f>IF(COUNTIF(A$2:A31,A31)&gt;1,1,0)</f>
        <v/>
      </c>
      <c r="M31" s="9">
        <f>IF(COUNTIF(properties!$A$2:$A$21,B31)=0,1,0)</f>
        <v/>
      </c>
      <c r="N31" s="9">
        <f>IF(M31=1,0,IF(G31&lt;&gt;INDEX(properties!$E$2:$E$21,MATCH(B31,properties!$A$2:$A$21,0)),1,0))</f>
        <v/>
      </c>
      <c r="O31" s="9">
        <f>IF(OR(I31&gt;F31,AND(E31&lt;&gt;"cancelled",I31&gt;0)),1,0)</f>
        <v/>
      </c>
      <c r="P31" s="9">
        <f>IF(H31&lt;0,1,0)</f>
        <v/>
      </c>
      <c r="Q31" s="9">
        <f>IF(L31+M31+N31+O31=0,1,0)</f>
        <v/>
      </c>
      <c r="R31" s="9">
        <f>IF(AND(Q31=1,E31&lt;&gt;"cancelled"),COUNTIFS($B$2:$B$152,B31,$Q$2:$Q$152,1,$E$2:$E$152,"&lt;&gt;cancelled",$C$2:$C$152,"&lt;"&amp;D31,$D$2:$D$152,"&gt;"&amp;C31)-1,0)</f>
        <v/>
      </c>
      <c r="S31" s="9">
        <f>IF(AND(Q31=1,OR(R31&gt;0,P31=1)),1,0)</f>
        <v/>
      </c>
      <c r="T31" s="9">
        <f>IF(Q31=0,0,IF(AND(S31=1,Dashboard!$C$7="Нет"),0,1))</f>
        <v/>
      </c>
      <c r="U31" s="9">
        <f>IF(L31=1,"Исключено: дубль",IF(M31=1,"Исключено: нет объекта",IF(N31=1,"Исключено: валюта",IF(O31=1,"Исключено: возврат/статус",IF(S31=1,"На проверке","OK")))))</f>
        <v/>
      </c>
      <c r="V31" s="25">
        <f>SUMIFS(commission_rules!$D$2:$D$21,commission_rules!$A$2:$A$21,B31,commission_rules!$B$2:$B$21,"&lt;="&amp;C31,commission_rules!$C$2:$C$21,"&gt;="&amp;C31)</f>
        <v/>
      </c>
      <c r="W31" s="10">
        <f>F31-I31</f>
        <v/>
      </c>
      <c r="X31" s="10">
        <f>IF(F31=0,0,H31*W31/F31)</f>
        <v/>
      </c>
      <c r="Y31" s="10">
        <f>V31*W31</f>
        <v/>
      </c>
      <c r="Z31" s="10">
        <f>W31-X31</f>
        <v/>
      </c>
      <c r="AA31" s="10">
        <f>SUMIFS(calc_payments!$N$2:$N$77,calc_payments!$B$2:$B$77,A31)</f>
        <v/>
      </c>
      <c r="AB31" s="10">
        <f>AA31-Z31</f>
        <v/>
      </c>
      <c r="AC31" s="9">
        <f>IF(T31=0,"",IF(AA31=0,IF(Z31=0,"нечего получать","нет платежа"),IF(ABS(AB31)&lt;1,"сходится","расхождение")))</f>
        <v/>
      </c>
      <c r="AD31" s="9">
        <f>MAX(0,MIN(D31,Dashboard!$C$6+1)-MAX(C31,Dashboard!$C$5))</f>
        <v/>
      </c>
      <c r="AE31" s="26">
        <f>IF(K31=0,0,AD31/K31)*T31</f>
        <v/>
      </c>
      <c r="AF31" s="10">
        <f>F31*AE31</f>
        <v/>
      </c>
      <c r="AG31" s="10">
        <f>I31*AE31</f>
        <v/>
      </c>
      <c r="AH31" s="10">
        <f>W31*AE31</f>
        <v/>
      </c>
      <c r="AI31" s="10">
        <f>X31*AE31</f>
        <v/>
      </c>
      <c r="AJ31" s="10">
        <f>Y31*AE31</f>
        <v/>
      </c>
      <c r="AK31" s="9">
        <f>IF(AND(T31=1,AD31&gt;0),1,0)</f>
        <v/>
      </c>
      <c r="AL31" s="10">
        <f>Z31*AK31</f>
        <v/>
      </c>
      <c r="AM31" s="10">
        <f>AA31*AK31</f>
        <v/>
      </c>
      <c r="AN31" s="9">
        <f>AD31*T31</f>
        <v/>
      </c>
      <c r="AO31" s="9">
        <f>S31*AK31</f>
        <v/>
      </c>
    </row>
    <row r="32">
      <c r="A32" s="9">
        <f>raw_reservations!A32</f>
        <v/>
      </c>
      <c r="B32" s="9">
        <f>raw_reservations!B32</f>
        <v/>
      </c>
      <c r="C32" s="24">
        <f>raw_reservations!C32</f>
        <v/>
      </c>
      <c r="D32" s="24">
        <f>raw_reservations!D32</f>
        <v/>
      </c>
      <c r="E32" s="9">
        <f>raw_reservations!E32</f>
        <v/>
      </c>
      <c r="F32" s="10">
        <f>raw_reservations!F32</f>
        <v/>
      </c>
      <c r="G32" s="9">
        <f>raw_reservations!G32</f>
        <v/>
      </c>
      <c r="H32" s="10">
        <f>raw_reservations!H32</f>
        <v/>
      </c>
      <c r="I32" s="10">
        <f>raw_reservations!I32</f>
        <v/>
      </c>
      <c r="J32" s="9">
        <f>raw_reservations!J32</f>
        <v/>
      </c>
      <c r="K32" s="9">
        <f>D32-C32</f>
        <v/>
      </c>
      <c r="L32" s="9">
        <f>IF(COUNTIF(A$2:A32,A32)&gt;1,1,0)</f>
        <v/>
      </c>
      <c r="M32" s="9">
        <f>IF(COUNTIF(properties!$A$2:$A$21,B32)=0,1,0)</f>
        <v/>
      </c>
      <c r="N32" s="9">
        <f>IF(M32=1,0,IF(G32&lt;&gt;INDEX(properties!$E$2:$E$21,MATCH(B32,properties!$A$2:$A$21,0)),1,0))</f>
        <v/>
      </c>
      <c r="O32" s="9">
        <f>IF(OR(I32&gt;F32,AND(E32&lt;&gt;"cancelled",I32&gt;0)),1,0)</f>
        <v/>
      </c>
      <c r="P32" s="9">
        <f>IF(H32&lt;0,1,0)</f>
        <v/>
      </c>
      <c r="Q32" s="9">
        <f>IF(L32+M32+N32+O32=0,1,0)</f>
        <v/>
      </c>
      <c r="R32" s="9">
        <f>IF(AND(Q32=1,E32&lt;&gt;"cancelled"),COUNTIFS($B$2:$B$152,B32,$Q$2:$Q$152,1,$E$2:$E$152,"&lt;&gt;cancelled",$C$2:$C$152,"&lt;"&amp;D32,$D$2:$D$152,"&gt;"&amp;C32)-1,0)</f>
        <v/>
      </c>
      <c r="S32" s="9">
        <f>IF(AND(Q32=1,OR(R32&gt;0,P32=1)),1,0)</f>
        <v/>
      </c>
      <c r="T32" s="9">
        <f>IF(Q32=0,0,IF(AND(S32=1,Dashboard!$C$7="Нет"),0,1))</f>
        <v/>
      </c>
      <c r="U32" s="9">
        <f>IF(L32=1,"Исключено: дубль",IF(M32=1,"Исключено: нет объекта",IF(N32=1,"Исключено: валюта",IF(O32=1,"Исключено: возврат/статус",IF(S32=1,"На проверке","OK")))))</f>
        <v/>
      </c>
      <c r="V32" s="25">
        <f>SUMIFS(commission_rules!$D$2:$D$21,commission_rules!$A$2:$A$21,B32,commission_rules!$B$2:$B$21,"&lt;="&amp;C32,commission_rules!$C$2:$C$21,"&gt;="&amp;C32)</f>
        <v/>
      </c>
      <c r="W32" s="10">
        <f>F32-I32</f>
        <v/>
      </c>
      <c r="X32" s="10">
        <f>IF(F32=0,0,H32*W32/F32)</f>
        <v/>
      </c>
      <c r="Y32" s="10">
        <f>V32*W32</f>
        <v/>
      </c>
      <c r="Z32" s="10">
        <f>W32-X32</f>
        <v/>
      </c>
      <c r="AA32" s="10">
        <f>SUMIFS(calc_payments!$N$2:$N$77,calc_payments!$B$2:$B$77,A32)</f>
        <v/>
      </c>
      <c r="AB32" s="10">
        <f>AA32-Z32</f>
        <v/>
      </c>
      <c r="AC32" s="9">
        <f>IF(T32=0,"",IF(AA32=0,IF(Z32=0,"нечего получать","нет платежа"),IF(ABS(AB32)&lt;1,"сходится","расхождение")))</f>
        <v/>
      </c>
      <c r="AD32" s="9">
        <f>MAX(0,MIN(D32,Dashboard!$C$6+1)-MAX(C32,Dashboard!$C$5))</f>
        <v/>
      </c>
      <c r="AE32" s="26">
        <f>IF(K32=0,0,AD32/K32)*T32</f>
        <v/>
      </c>
      <c r="AF32" s="10">
        <f>F32*AE32</f>
        <v/>
      </c>
      <c r="AG32" s="10">
        <f>I32*AE32</f>
        <v/>
      </c>
      <c r="AH32" s="10">
        <f>W32*AE32</f>
        <v/>
      </c>
      <c r="AI32" s="10">
        <f>X32*AE32</f>
        <v/>
      </c>
      <c r="AJ32" s="10">
        <f>Y32*AE32</f>
        <v/>
      </c>
      <c r="AK32" s="9">
        <f>IF(AND(T32=1,AD32&gt;0),1,0)</f>
        <v/>
      </c>
      <c r="AL32" s="10">
        <f>Z32*AK32</f>
        <v/>
      </c>
      <c r="AM32" s="10">
        <f>AA32*AK32</f>
        <v/>
      </c>
      <c r="AN32" s="9">
        <f>AD32*T32</f>
        <v/>
      </c>
      <c r="AO32" s="9">
        <f>S32*AK32</f>
        <v/>
      </c>
    </row>
    <row r="33">
      <c r="A33" s="9">
        <f>raw_reservations!A33</f>
        <v/>
      </c>
      <c r="B33" s="9">
        <f>raw_reservations!B33</f>
        <v/>
      </c>
      <c r="C33" s="24">
        <f>raw_reservations!C33</f>
        <v/>
      </c>
      <c r="D33" s="24">
        <f>raw_reservations!D33</f>
        <v/>
      </c>
      <c r="E33" s="9">
        <f>raw_reservations!E33</f>
        <v/>
      </c>
      <c r="F33" s="10">
        <f>raw_reservations!F33</f>
        <v/>
      </c>
      <c r="G33" s="9">
        <f>raw_reservations!G33</f>
        <v/>
      </c>
      <c r="H33" s="10">
        <f>raw_reservations!H33</f>
        <v/>
      </c>
      <c r="I33" s="10">
        <f>raw_reservations!I33</f>
        <v/>
      </c>
      <c r="J33" s="9">
        <f>raw_reservations!J33</f>
        <v/>
      </c>
      <c r="K33" s="9">
        <f>D33-C33</f>
        <v/>
      </c>
      <c r="L33" s="9">
        <f>IF(COUNTIF(A$2:A33,A33)&gt;1,1,0)</f>
        <v/>
      </c>
      <c r="M33" s="9">
        <f>IF(COUNTIF(properties!$A$2:$A$21,B33)=0,1,0)</f>
        <v/>
      </c>
      <c r="N33" s="9">
        <f>IF(M33=1,0,IF(G33&lt;&gt;INDEX(properties!$E$2:$E$21,MATCH(B33,properties!$A$2:$A$21,0)),1,0))</f>
        <v/>
      </c>
      <c r="O33" s="9">
        <f>IF(OR(I33&gt;F33,AND(E33&lt;&gt;"cancelled",I33&gt;0)),1,0)</f>
        <v/>
      </c>
      <c r="P33" s="9">
        <f>IF(H33&lt;0,1,0)</f>
        <v/>
      </c>
      <c r="Q33" s="9">
        <f>IF(L33+M33+N33+O33=0,1,0)</f>
        <v/>
      </c>
      <c r="R33" s="9">
        <f>IF(AND(Q33=1,E33&lt;&gt;"cancelled"),COUNTIFS($B$2:$B$152,B33,$Q$2:$Q$152,1,$E$2:$E$152,"&lt;&gt;cancelled",$C$2:$C$152,"&lt;"&amp;D33,$D$2:$D$152,"&gt;"&amp;C33)-1,0)</f>
        <v/>
      </c>
      <c r="S33" s="9">
        <f>IF(AND(Q33=1,OR(R33&gt;0,P33=1)),1,0)</f>
        <v/>
      </c>
      <c r="T33" s="9">
        <f>IF(Q33=0,0,IF(AND(S33=1,Dashboard!$C$7="Нет"),0,1))</f>
        <v/>
      </c>
      <c r="U33" s="9">
        <f>IF(L33=1,"Исключено: дубль",IF(M33=1,"Исключено: нет объекта",IF(N33=1,"Исключено: валюта",IF(O33=1,"Исключено: возврат/статус",IF(S33=1,"На проверке","OK")))))</f>
        <v/>
      </c>
      <c r="V33" s="25">
        <f>SUMIFS(commission_rules!$D$2:$D$21,commission_rules!$A$2:$A$21,B33,commission_rules!$B$2:$B$21,"&lt;="&amp;C33,commission_rules!$C$2:$C$21,"&gt;="&amp;C33)</f>
        <v/>
      </c>
      <c r="W33" s="10">
        <f>F33-I33</f>
        <v/>
      </c>
      <c r="X33" s="10">
        <f>IF(F33=0,0,H33*W33/F33)</f>
        <v/>
      </c>
      <c r="Y33" s="10">
        <f>V33*W33</f>
        <v/>
      </c>
      <c r="Z33" s="10">
        <f>W33-X33</f>
        <v/>
      </c>
      <c r="AA33" s="10">
        <f>SUMIFS(calc_payments!$N$2:$N$77,calc_payments!$B$2:$B$77,A33)</f>
        <v/>
      </c>
      <c r="AB33" s="10">
        <f>AA33-Z33</f>
        <v/>
      </c>
      <c r="AC33" s="9">
        <f>IF(T33=0,"",IF(AA33=0,IF(Z33=0,"нечего получать","нет платежа"),IF(ABS(AB33)&lt;1,"сходится","расхождение")))</f>
        <v/>
      </c>
      <c r="AD33" s="9">
        <f>MAX(0,MIN(D33,Dashboard!$C$6+1)-MAX(C33,Dashboard!$C$5))</f>
        <v/>
      </c>
      <c r="AE33" s="26">
        <f>IF(K33=0,0,AD33/K33)*T33</f>
        <v/>
      </c>
      <c r="AF33" s="10">
        <f>F33*AE33</f>
        <v/>
      </c>
      <c r="AG33" s="10">
        <f>I33*AE33</f>
        <v/>
      </c>
      <c r="AH33" s="10">
        <f>W33*AE33</f>
        <v/>
      </c>
      <c r="AI33" s="10">
        <f>X33*AE33</f>
        <v/>
      </c>
      <c r="AJ33" s="10">
        <f>Y33*AE33</f>
        <v/>
      </c>
      <c r="AK33" s="9">
        <f>IF(AND(T33=1,AD33&gt;0),1,0)</f>
        <v/>
      </c>
      <c r="AL33" s="10">
        <f>Z33*AK33</f>
        <v/>
      </c>
      <c r="AM33" s="10">
        <f>AA33*AK33</f>
        <v/>
      </c>
      <c r="AN33" s="9">
        <f>AD33*T33</f>
        <v/>
      </c>
      <c r="AO33" s="9">
        <f>S33*AK33</f>
        <v/>
      </c>
    </row>
    <row r="34">
      <c r="A34" s="9">
        <f>raw_reservations!A34</f>
        <v/>
      </c>
      <c r="B34" s="9">
        <f>raw_reservations!B34</f>
        <v/>
      </c>
      <c r="C34" s="24">
        <f>raw_reservations!C34</f>
        <v/>
      </c>
      <c r="D34" s="24">
        <f>raw_reservations!D34</f>
        <v/>
      </c>
      <c r="E34" s="9">
        <f>raw_reservations!E34</f>
        <v/>
      </c>
      <c r="F34" s="10">
        <f>raw_reservations!F34</f>
        <v/>
      </c>
      <c r="G34" s="9">
        <f>raw_reservations!G34</f>
        <v/>
      </c>
      <c r="H34" s="10">
        <f>raw_reservations!H34</f>
        <v/>
      </c>
      <c r="I34" s="10">
        <f>raw_reservations!I34</f>
        <v/>
      </c>
      <c r="J34" s="9">
        <f>raw_reservations!J34</f>
        <v/>
      </c>
      <c r="K34" s="9">
        <f>D34-C34</f>
        <v/>
      </c>
      <c r="L34" s="9">
        <f>IF(COUNTIF(A$2:A34,A34)&gt;1,1,0)</f>
        <v/>
      </c>
      <c r="M34" s="9">
        <f>IF(COUNTIF(properties!$A$2:$A$21,B34)=0,1,0)</f>
        <v/>
      </c>
      <c r="N34" s="9">
        <f>IF(M34=1,0,IF(G34&lt;&gt;INDEX(properties!$E$2:$E$21,MATCH(B34,properties!$A$2:$A$21,0)),1,0))</f>
        <v/>
      </c>
      <c r="O34" s="9">
        <f>IF(OR(I34&gt;F34,AND(E34&lt;&gt;"cancelled",I34&gt;0)),1,0)</f>
        <v/>
      </c>
      <c r="P34" s="9">
        <f>IF(H34&lt;0,1,0)</f>
        <v/>
      </c>
      <c r="Q34" s="9">
        <f>IF(L34+M34+N34+O34=0,1,0)</f>
        <v/>
      </c>
      <c r="R34" s="9">
        <f>IF(AND(Q34=1,E34&lt;&gt;"cancelled"),COUNTIFS($B$2:$B$152,B34,$Q$2:$Q$152,1,$E$2:$E$152,"&lt;&gt;cancelled",$C$2:$C$152,"&lt;"&amp;D34,$D$2:$D$152,"&gt;"&amp;C34)-1,0)</f>
        <v/>
      </c>
      <c r="S34" s="9">
        <f>IF(AND(Q34=1,OR(R34&gt;0,P34=1)),1,0)</f>
        <v/>
      </c>
      <c r="T34" s="9">
        <f>IF(Q34=0,0,IF(AND(S34=1,Dashboard!$C$7="Нет"),0,1))</f>
        <v/>
      </c>
      <c r="U34" s="9">
        <f>IF(L34=1,"Исключено: дубль",IF(M34=1,"Исключено: нет объекта",IF(N34=1,"Исключено: валюта",IF(O34=1,"Исключено: возврат/статус",IF(S34=1,"На проверке","OK")))))</f>
        <v/>
      </c>
      <c r="V34" s="25">
        <f>SUMIFS(commission_rules!$D$2:$D$21,commission_rules!$A$2:$A$21,B34,commission_rules!$B$2:$B$21,"&lt;="&amp;C34,commission_rules!$C$2:$C$21,"&gt;="&amp;C34)</f>
        <v/>
      </c>
      <c r="W34" s="10">
        <f>F34-I34</f>
        <v/>
      </c>
      <c r="X34" s="10">
        <f>IF(F34=0,0,H34*W34/F34)</f>
        <v/>
      </c>
      <c r="Y34" s="10">
        <f>V34*W34</f>
        <v/>
      </c>
      <c r="Z34" s="10">
        <f>W34-X34</f>
        <v/>
      </c>
      <c r="AA34" s="10">
        <f>SUMIFS(calc_payments!$N$2:$N$77,calc_payments!$B$2:$B$77,A34)</f>
        <v/>
      </c>
      <c r="AB34" s="10">
        <f>AA34-Z34</f>
        <v/>
      </c>
      <c r="AC34" s="9">
        <f>IF(T34=0,"",IF(AA34=0,IF(Z34=0,"нечего получать","нет платежа"),IF(ABS(AB34)&lt;1,"сходится","расхождение")))</f>
        <v/>
      </c>
      <c r="AD34" s="9">
        <f>MAX(0,MIN(D34,Dashboard!$C$6+1)-MAX(C34,Dashboard!$C$5))</f>
        <v/>
      </c>
      <c r="AE34" s="26">
        <f>IF(K34=0,0,AD34/K34)*T34</f>
        <v/>
      </c>
      <c r="AF34" s="10">
        <f>F34*AE34</f>
        <v/>
      </c>
      <c r="AG34" s="10">
        <f>I34*AE34</f>
        <v/>
      </c>
      <c r="AH34" s="10">
        <f>W34*AE34</f>
        <v/>
      </c>
      <c r="AI34" s="10">
        <f>X34*AE34</f>
        <v/>
      </c>
      <c r="AJ34" s="10">
        <f>Y34*AE34</f>
        <v/>
      </c>
      <c r="AK34" s="9">
        <f>IF(AND(T34=1,AD34&gt;0),1,0)</f>
        <v/>
      </c>
      <c r="AL34" s="10">
        <f>Z34*AK34</f>
        <v/>
      </c>
      <c r="AM34" s="10">
        <f>AA34*AK34</f>
        <v/>
      </c>
      <c r="AN34" s="9">
        <f>AD34*T34</f>
        <v/>
      </c>
      <c r="AO34" s="9">
        <f>S34*AK34</f>
        <v/>
      </c>
    </row>
    <row r="35">
      <c r="A35" s="9">
        <f>raw_reservations!A35</f>
        <v/>
      </c>
      <c r="B35" s="9">
        <f>raw_reservations!B35</f>
        <v/>
      </c>
      <c r="C35" s="24">
        <f>raw_reservations!C35</f>
        <v/>
      </c>
      <c r="D35" s="24">
        <f>raw_reservations!D35</f>
        <v/>
      </c>
      <c r="E35" s="9">
        <f>raw_reservations!E35</f>
        <v/>
      </c>
      <c r="F35" s="10">
        <f>raw_reservations!F35</f>
        <v/>
      </c>
      <c r="G35" s="9">
        <f>raw_reservations!G35</f>
        <v/>
      </c>
      <c r="H35" s="10">
        <f>raw_reservations!H35</f>
        <v/>
      </c>
      <c r="I35" s="10">
        <f>raw_reservations!I35</f>
        <v/>
      </c>
      <c r="J35" s="9">
        <f>raw_reservations!J35</f>
        <v/>
      </c>
      <c r="K35" s="9">
        <f>D35-C35</f>
        <v/>
      </c>
      <c r="L35" s="9">
        <f>IF(COUNTIF(A$2:A35,A35)&gt;1,1,0)</f>
        <v/>
      </c>
      <c r="M35" s="9">
        <f>IF(COUNTIF(properties!$A$2:$A$21,B35)=0,1,0)</f>
        <v/>
      </c>
      <c r="N35" s="9">
        <f>IF(M35=1,0,IF(G35&lt;&gt;INDEX(properties!$E$2:$E$21,MATCH(B35,properties!$A$2:$A$21,0)),1,0))</f>
        <v/>
      </c>
      <c r="O35" s="9">
        <f>IF(OR(I35&gt;F35,AND(E35&lt;&gt;"cancelled",I35&gt;0)),1,0)</f>
        <v/>
      </c>
      <c r="P35" s="9">
        <f>IF(H35&lt;0,1,0)</f>
        <v/>
      </c>
      <c r="Q35" s="9">
        <f>IF(L35+M35+N35+O35=0,1,0)</f>
        <v/>
      </c>
      <c r="R35" s="9">
        <f>IF(AND(Q35=1,E35&lt;&gt;"cancelled"),COUNTIFS($B$2:$B$152,B35,$Q$2:$Q$152,1,$E$2:$E$152,"&lt;&gt;cancelled",$C$2:$C$152,"&lt;"&amp;D35,$D$2:$D$152,"&gt;"&amp;C35)-1,0)</f>
        <v/>
      </c>
      <c r="S35" s="9">
        <f>IF(AND(Q35=1,OR(R35&gt;0,P35=1)),1,0)</f>
        <v/>
      </c>
      <c r="T35" s="9">
        <f>IF(Q35=0,0,IF(AND(S35=1,Dashboard!$C$7="Нет"),0,1))</f>
        <v/>
      </c>
      <c r="U35" s="9">
        <f>IF(L35=1,"Исключено: дубль",IF(M35=1,"Исключено: нет объекта",IF(N35=1,"Исключено: валюта",IF(O35=1,"Исключено: возврат/статус",IF(S35=1,"На проверке","OK")))))</f>
        <v/>
      </c>
      <c r="V35" s="25">
        <f>SUMIFS(commission_rules!$D$2:$D$21,commission_rules!$A$2:$A$21,B35,commission_rules!$B$2:$B$21,"&lt;="&amp;C35,commission_rules!$C$2:$C$21,"&gt;="&amp;C35)</f>
        <v/>
      </c>
      <c r="W35" s="10">
        <f>F35-I35</f>
        <v/>
      </c>
      <c r="X35" s="10">
        <f>IF(F35=0,0,H35*W35/F35)</f>
        <v/>
      </c>
      <c r="Y35" s="10">
        <f>V35*W35</f>
        <v/>
      </c>
      <c r="Z35" s="10">
        <f>W35-X35</f>
        <v/>
      </c>
      <c r="AA35" s="10">
        <f>SUMIFS(calc_payments!$N$2:$N$77,calc_payments!$B$2:$B$77,A35)</f>
        <v/>
      </c>
      <c r="AB35" s="10">
        <f>AA35-Z35</f>
        <v/>
      </c>
      <c r="AC35" s="9">
        <f>IF(T35=0,"",IF(AA35=0,IF(Z35=0,"нечего получать","нет платежа"),IF(ABS(AB35)&lt;1,"сходится","расхождение")))</f>
        <v/>
      </c>
      <c r="AD35" s="9">
        <f>MAX(0,MIN(D35,Dashboard!$C$6+1)-MAX(C35,Dashboard!$C$5))</f>
        <v/>
      </c>
      <c r="AE35" s="26">
        <f>IF(K35=0,0,AD35/K35)*T35</f>
        <v/>
      </c>
      <c r="AF35" s="10">
        <f>F35*AE35</f>
        <v/>
      </c>
      <c r="AG35" s="10">
        <f>I35*AE35</f>
        <v/>
      </c>
      <c r="AH35" s="10">
        <f>W35*AE35</f>
        <v/>
      </c>
      <c r="AI35" s="10">
        <f>X35*AE35</f>
        <v/>
      </c>
      <c r="AJ35" s="10">
        <f>Y35*AE35</f>
        <v/>
      </c>
      <c r="AK35" s="9">
        <f>IF(AND(T35=1,AD35&gt;0),1,0)</f>
        <v/>
      </c>
      <c r="AL35" s="10">
        <f>Z35*AK35</f>
        <v/>
      </c>
      <c r="AM35" s="10">
        <f>AA35*AK35</f>
        <v/>
      </c>
      <c r="AN35" s="9">
        <f>AD35*T35</f>
        <v/>
      </c>
      <c r="AO35" s="9">
        <f>S35*AK35</f>
        <v/>
      </c>
    </row>
    <row r="36">
      <c r="A36" s="9">
        <f>raw_reservations!A36</f>
        <v/>
      </c>
      <c r="B36" s="9">
        <f>raw_reservations!B36</f>
        <v/>
      </c>
      <c r="C36" s="24">
        <f>raw_reservations!C36</f>
        <v/>
      </c>
      <c r="D36" s="24">
        <f>raw_reservations!D36</f>
        <v/>
      </c>
      <c r="E36" s="9">
        <f>raw_reservations!E36</f>
        <v/>
      </c>
      <c r="F36" s="10">
        <f>raw_reservations!F36</f>
        <v/>
      </c>
      <c r="G36" s="9">
        <f>raw_reservations!G36</f>
        <v/>
      </c>
      <c r="H36" s="10">
        <f>raw_reservations!H36</f>
        <v/>
      </c>
      <c r="I36" s="10">
        <f>raw_reservations!I36</f>
        <v/>
      </c>
      <c r="J36" s="9">
        <f>raw_reservations!J36</f>
        <v/>
      </c>
      <c r="K36" s="9">
        <f>D36-C36</f>
        <v/>
      </c>
      <c r="L36" s="9">
        <f>IF(COUNTIF(A$2:A36,A36)&gt;1,1,0)</f>
        <v/>
      </c>
      <c r="M36" s="9">
        <f>IF(COUNTIF(properties!$A$2:$A$21,B36)=0,1,0)</f>
        <v/>
      </c>
      <c r="N36" s="9">
        <f>IF(M36=1,0,IF(G36&lt;&gt;INDEX(properties!$E$2:$E$21,MATCH(B36,properties!$A$2:$A$21,0)),1,0))</f>
        <v/>
      </c>
      <c r="O36" s="9">
        <f>IF(OR(I36&gt;F36,AND(E36&lt;&gt;"cancelled",I36&gt;0)),1,0)</f>
        <v/>
      </c>
      <c r="P36" s="9">
        <f>IF(H36&lt;0,1,0)</f>
        <v/>
      </c>
      <c r="Q36" s="9">
        <f>IF(L36+M36+N36+O36=0,1,0)</f>
        <v/>
      </c>
      <c r="R36" s="9">
        <f>IF(AND(Q36=1,E36&lt;&gt;"cancelled"),COUNTIFS($B$2:$B$152,B36,$Q$2:$Q$152,1,$E$2:$E$152,"&lt;&gt;cancelled",$C$2:$C$152,"&lt;"&amp;D36,$D$2:$D$152,"&gt;"&amp;C36)-1,0)</f>
        <v/>
      </c>
      <c r="S36" s="9">
        <f>IF(AND(Q36=1,OR(R36&gt;0,P36=1)),1,0)</f>
        <v/>
      </c>
      <c r="T36" s="9">
        <f>IF(Q36=0,0,IF(AND(S36=1,Dashboard!$C$7="Нет"),0,1))</f>
        <v/>
      </c>
      <c r="U36" s="9">
        <f>IF(L36=1,"Исключено: дубль",IF(M36=1,"Исключено: нет объекта",IF(N36=1,"Исключено: валюта",IF(O36=1,"Исключено: возврат/статус",IF(S36=1,"На проверке","OK")))))</f>
        <v/>
      </c>
      <c r="V36" s="25">
        <f>SUMIFS(commission_rules!$D$2:$D$21,commission_rules!$A$2:$A$21,B36,commission_rules!$B$2:$B$21,"&lt;="&amp;C36,commission_rules!$C$2:$C$21,"&gt;="&amp;C36)</f>
        <v/>
      </c>
      <c r="W36" s="10">
        <f>F36-I36</f>
        <v/>
      </c>
      <c r="X36" s="10">
        <f>IF(F36=0,0,H36*W36/F36)</f>
        <v/>
      </c>
      <c r="Y36" s="10">
        <f>V36*W36</f>
        <v/>
      </c>
      <c r="Z36" s="10">
        <f>W36-X36</f>
        <v/>
      </c>
      <c r="AA36" s="10">
        <f>SUMIFS(calc_payments!$N$2:$N$77,calc_payments!$B$2:$B$77,A36)</f>
        <v/>
      </c>
      <c r="AB36" s="10">
        <f>AA36-Z36</f>
        <v/>
      </c>
      <c r="AC36" s="9">
        <f>IF(T36=0,"",IF(AA36=0,IF(Z36=0,"нечего получать","нет платежа"),IF(ABS(AB36)&lt;1,"сходится","расхождение")))</f>
        <v/>
      </c>
      <c r="AD36" s="9">
        <f>MAX(0,MIN(D36,Dashboard!$C$6+1)-MAX(C36,Dashboard!$C$5))</f>
        <v/>
      </c>
      <c r="AE36" s="26">
        <f>IF(K36=0,0,AD36/K36)*T36</f>
        <v/>
      </c>
      <c r="AF36" s="10">
        <f>F36*AE36</f>
        <v/>
      </c>
      <c r="AG36" s="10">
        <f>I36*AE36</f>
        <v/>
      </c>
      <c r="AH36" s="10">
        <f>W36*AE36</f>
        <v/>
      </c>
      <c r="AI36" s="10">
        <f>X36*AE36</f>
        <v/>
      </c>
      <c r="AJ36" s="10">
        <f>Y36*AE36</f>
        <v/>
      </c>
      <c r="AK36" s="9">
        <f>IF(AND(T36=1,AD36&gt;0),1,0)</f>
        <v/>
      </c>
      <c r="AL36" s="10">
        <f>Z36*AK36</f>
        <v/>
      </c>
      <c r="AM36" s="10">
        <f>AA36*AK36</f>
        <v/>
      </c>
      <c r="AN36" s="9">
        <f>AD36*T36</f>
        <v/>
      </c>
      <c r="AO36" s="9">
        <f>S36*AK36</f>
        <v/>
      </c>
    </row>
    <row r="37">
      <c r="A37" s="9">
        <f>raw_reservations!A37</f>
        <v/>
      </c>
      <c r="B37" s="9">
        <f>raw_reservations!B37</f>
        <v/>
      </c>
      <c r="C37" s="24">
        <f>raw_reservations!C37</f>
        <v/>
      </c>
      <c r="D37" s="24">
        <f>raw_reservations!D37</f>
        <v/>
      </c>
      <c r="E37" s="9">
        <f>raw_reservations!E37</f>
        <v/>
      </c>
      <c r="F37" s="10">
        <f>raw_reservations!F37</f>
        <v/>
      </c>
      <c r="G37" s="9">
        <f>raw_reservations!G37</f>
        <v/>
      </c>
      <c r="H37" s="10">
        <f>raw_reservations!H37</f>
        <v/>
      </c>
      <c r="I37" s="10">
        <f>raw_reservations!I37</f>
        <v/>
      </c>
      <c r="J37" s="9">
        <f>raw_reservations!J37</f>
        <v/>
      </c>
      <c r="K37" s="9">
        <f>D37-C37</f>
        <v/>
      </c>
      <c r="L37" s="9">
        <f>IF(COUNTIF(A$2:A37,A37)&gt;1,1,0)</f>
        <v/>
      </c>
      <c r="M37" s="9">
        <f>IF(COUNTIF(properties!$A$2:$A$21,B37)=0,1,0)</f>
        <v/>
      </c>
      <c r="N37" s="9">
        <f>IF(M37=1,0,IF(G37&lt;&gt;INDEX(properties!$E$2:$E$21,MATCH(B37,properties!$A$2:$A$21,0)),1,0))</f>
        <v/>
      </c>
      <c r="O37" s="9">
        <f>IF(OR(I37&gt;F37,AND(E37&lt;&gt;"cancelled",I37&gt;0)),1,0)</f>
        <v/>
      </c>
      <c r="P37" s="9">
        <f>IF(H37&lt;0,1,0)</f>
        <v/>
      </c>
      <c r="Q37" s="9">
        <f>IF(L37+M37+N37+O37=0,1,0)</f>
        <v/>
      </c>
      <c r="R37" s="9">
        <f>IF(AND(Q37=1,E37&lt;&gt;"cancelled"),COUNTIFS($B$2:$B$152,B37,$Q$2:$Q$152,1,$E$2:$E$152,"&lt;&gt;cancelled",$C$2:$C$152,"&lt;"&amp;D37,$D$2:$D$152,"&gt;"&amp;C37)-1,0)</f>
        <v/>
      </c>
      <c r="S37" s="9">
        <f>IF(AND(Q37=1,OR(R37&gt;0,P37=1)),1,0)</f>
        <v/>
      </c>
      <c r="T37" s="9">
        <f>IF(Q37=0,0,IF(AND(S37=1,Dashboard!$C$7="Нет"),0,1))</f>
        <v/>
      </c>
      <c r="U37" s="9">
        <f>IF(L37=1,"Исключено: дубль",IF(M37=1,"Исключено: нет объекта",IF(N37=1,"Исключено: валюта",IF(O37=1,"Исключено: возврат/статус",IF(S37=1,"На проверке","OK")))))</f>
        <v/>
      </c>
      <c r="V37" s="25">
        <f>SUMIFS(commission_rules!$D$2:$D$21,commission_rules!$A$2:$A$21,B37,commission_rules!$B$2:$B$21,"&lt;="&amp;C37,commission_rules!$C$2:$C$21,"&gt;="&amp;C37)</f>
        <v/>
      </c>
      <c r="W37" s="10">
        <f>F37-I37</f>
        <v/>
      </c>
      <c r="X37" s="10">
        <f>IF(F37=0,0,H37*W37/F37)</f>
        <v/>
      </c>
      <c r="Y37" s="10">
        <f>V37*W37</f>
        <v/>
      </c>
      <c r="Z37" s="10">
        <f>W37-X37</f>
        <v/>
      </c>
      <c r="AA37" s="10">
        <f>SUMIFS(calc_payments!$N$2:$N$77,calc_payments!$B$2:$B$77,A37)</f>
        <v/>
      </c>
      <c r="AB37" s="10">
        <f>AA37-Z37</f>
        <v/>
      </c>
      <c r="AC37" s="9">
        <f>IF(T37=0,"",IF(AA37=0,IF(Z37=0,"нечего получать","нет платежа"),IF(ABS(AB37)&lt;1,"сходится","расхождение")))</f>
        <v/>
      </c>
      <c r="AD37" s="9">
        <f>MAX(0,MIN(D37,Dashboard!$C$6+1)-MAX(C37,Dashboard!$C$5))</f>
        <v/>
      </c>
      <c r="AE37" s="26">
        <f>IF(K37=0,0,AD37/K37)*T37</f>
        <v/>
      </c>
      <c r="AF37" s="10">
        <f>F37*AE37</f>
        <v/>
      </c>
      <c r="AG37" s="10">
        <f>I37*AE37</f>
        <v/>
      </c>
      <c r="AH37" s="10">
        <f>W37*AE37</f>
        <v/>
      </c>
      <c r="AI37" s="10">
        <f>X37*AE37</f>
        <v/>
      </c>
      <c r="AJ37" s="10">
        <f>Y37*AE37</f>
        <v/>
      </c>
      <c r="AK37" s="9">
        <f>IF(AND(T37=1,AD37&gt;0),1,0)</f>
        <v/>
      </c>
      <c r="AL37" s="10">
        <f>Z37*AK37</f>
        <v/>
      </c>
      <c r="AM37" s="10">
        <f>AA37*AK37</f>
        <v/>
      </c>
      <c r="AN37" s="9">
        <f>AD37*T37</f>
        <v/>
      </c>
      <c r="AO37" s="9">
        <f>S37*AK37</f>
        <v/>
      </c>
    </row>
    <row r="38">
      <c r="A38" s="9">
        <f>raw_reservations!A38</f>
        <v/>
      </c>
      <c r="B38" s="9">
        <f>raw_reservations!B38</f>
        <v/>
      </c>
      <c r="C38" s="24">
        <f>raw_reservations!C38</f>
        <v/>
      </c>
      <c r="D38" s="24">
        <f>raw_reservations!D38</f>
        <v/>
      </c>
      <c r="E38" s="9">
        <f>raw_reservations!E38</f>
        <v/>
      </c>
      <c r="F38" s="10">
        <f>raw_reservations!F38</f>
        <v/>
      </c>
      <c r="G38" s="9">
        <f>raw_reservations!G38</f>
        <v/>
      </c>
      <c r="H38" s="10">
        <f>raw_reservations!H38</f>
        <v/>
      </c>
      <c r="I38" s="10">
        <f>raw_reservations!I38</f>
        <v/>
      </c>
      <c r="J38" s="9">
        <f>raw_reservations!J38</f>
        <v/>
      </c>
      <c r="K38" s="9">
        <f>D38-C38</f>
        <v/>
      </c>
      <c r="L38" s="9">
        <f>IF(COUNTIF(A$2:A38,A38)&gt;1,1,0)</f>
        <v/>
      </c>
      <c r="M38" s="9">
        <f>IF(COUNTIF(properties!$A$2:$A$21,B38)=0,1,0)</f>
        <v/>
      </c>
      <c r="N38" s="9">
        <f>IF(M38=1,0,IF(G38&lt;&gt;INDEX(properties!$E$2:$E$21,MATCH(B38,properties!$A$2:$A$21,0)),1,0))</f>
        <v/>
      </c>
      <c r="O38" s="9">
        <f>IF(OR(I38&gt;F38,AND(E38&lt;&gt;"cancelled",I38&gt;0)),1,0)</f>
        <v/>
      </c>
      <c r="P38" s="9">
        <f>IF(H38&lt;0,1,0)</f>
        <v/>
      </c>
      <c r="Q38" s="9">
        <f>IF(L38+M38+N38+O38=0,1,0)</f>
        <v/>
      </c>
      <c r="R38" s="9">
        <f>IF(AND(Q38=1,E38&lt;&gt;"cancelled"),COUNTIFS($B$2:$B$152,B38,$Q$2:$Q$152,1,$E$2:$E$152,"&lt;&gt;cancelled",$C$2:$C$152,"&lt;"&amp;D38,$D$2:$D$152,"&gt;"&amp;C38)-1,0)</f>
        <v/>
      </c>
      <c r="S38" s="9">
        <f>IF(AND(Q38=1,OR(R38&gt;0,P38=1)),1,0)</f>
        <v/>
      </c>
      <c r="T38" s="9">
        <f>IF(Q38=0,0,IF(AND(S38=1,Dashboard!$C$7="Нет"),0,1))</f>
        <v/>
      </c>
      <c r="U38" s="9">
        <f>IF(L38=1,"Исключено: дубль",IF(M38=1,"Исключено: нет объекта",IF(N38=1,"Исключено: валюта",IF(O38=1,"Исключено: возврат/статус",IF(S38=1,"На проверке","OK")))))</f>
        <v/>
      </c>
      <c r="V38" s="25">
        <f>SUMIFS(commission_rules!$D$2:$D$21,commission_rules!$A$2:$A$21,B38,commission_rules!$B$2:$B$21,"&lt;="&amp;C38,commission_rules!$C$2:$C$21,"&gt;="&amp;C38)</f>
        <v/>
      </c>
      <c r="W38" s="10">
        <f>F38-I38</f>
        <v/>
      </c>
      <c r="X38" s="10">
        <f>IF(F38=0,0,H38*W38/F38)</f>
        <v/>
      </c>
      <c r="Y38" s="10">
        <f>V38*W38</f>
        <v/>
      </c>
      <c r="Z38" s="10">
        <f>W38-X38</f>
        <v/>
      </c>
      <c r="AA38" s="10">
        <f>SUMIFS(calc_payments!$N$2:$N$77,calc_payments!$B$2:$B$77,A38)</f>
        <v/>
      </c>
      <c r="AB38" s="10">
        <f>AA38-Z38</f>
        <v/>
      </c>
      <c r="AC38" s="9">
        <f>IF(T38=0,"",IF(AA38=0,IF(Z38=0,"нечего получать","нет платежа"),IF(ABS(AB38)&lt;1,"сходится","расхождение")))</f>
        <v/>
      </c>
      <c r="AD38" s="9">
        <f>MAX(0,MIN(D38,Dashboard!$C$6+1)-MAX(C38,Dashboard!$C$5))</f>
        <v/>
      </c>
      <c r="AE38" s="26">
        <f>IF(K38=0,0,AD38/K38)*T38</f>
        <v/>
      </c>
      <c r="AF38" s="10">
        <f>F38*AE38</f>
        <v/>
      </c>
      <c r="AG38" s="10">
        <f>I38*AE38</f>
        <v/>
      </c>
      <c r="AH38" s="10">
        <f>W38*AE38</f>
        <v/>
      </c>
      <c r="AI38" s="10">
        <f>X38*AE38</f>
        <v/>
      </c>
      <c r="AJ38" s="10">
        <f>Y38*AE38</f>
        <v/>
      </c>
      <c r="AK38" s="9">
        <f>IF(AND(T38=1,AD38&gt;0),1,0)</f>
        <v/>
      </c>
      <c r="AL38" s="10">
        <f>Z38*AK38</f>
        <v/>
      </c>
      <c r="AM38" s="10">
        <f>AA38*AK38</f>
        <v/>
      </c>
      <c r="AN38" s="9">
        <f>AD38*T38</f>
        <v/>
      </c>
      <c r="AO38" s="9">
        <f>S38*AK38</f>
        <v/>
      </c>
    </row>
    <row r="39">
      <c r="A39" s="9">
        <f>raw_reservations!A39</f>
        <v/>
      </c>
      <c r="B39" s="9">
        <f>raw_reservations!B39</f>
        <v/>
      </c>
      <c r="C39" s="24">
        <f>raw_reservations!C39</f>
        <v/>
      </c>
      <c r="D39" s="24">
        <f>raw_reservations!D39</f>
        <v/>
      </c>
      <c r="E39" s="9">
        <f>raw_reservations!E39</f>
        <v/>
      </c>
      <c r="F39" s="10">
        <f>raw_reservations!F39</f>
        <v/>
      </c>
      <c r="G39" s="9">
        <f>raw_reservations!G39</f>
        <v/>
      </c>
      <c r="H39" s="10">
        <f>raw_reservations!H39</f>
        <v/>
      </c>
      <c r="I39" s="10">
        <f>raw_reservations!I39</f>
        <v/>
      </c>
      <c r="J39" s="9">
        <f>raw_reservations!J39</f>
        <v/>
      </c>
      <c r="K39" s="9">
        <f>D39-C39</f>
        <v/>
      </c>
      <c r="L39" s="9">
        <f>IF(COUNTIF(A$2:A39,A39)&gt;1,1,0)</f>
        <v/>
      </c>
      <c r="M39" s="9">
        <f>IF(COUNTIF(properties!$A$2:$A$21,B39)=0,1,0)</f>
        <v/>
      </c>
      <c r="N39" s="9">
        <f>IF(M39=1,0,IF(G39&lt;&gt;INDEX(properties!$E$2:$E$21,MATCH(B39,properties!$A$2:$A$21,0)),1,0))</f>
        <v/>
      </c>
      <c r="O39" s="9">
        <f>IF(OR(I39&gt;F39,AND(E39&lt;&gt;"cancelled",I39&gt;0)),1,0)</f>
        <v/>
      </c>
      <c r="P39" s="9">
        <f>IF(H39&lt;0,1,0)</f>
        <v/>
      </c>
      <c r="Q39" s="9">
        <f>IF(L39+M39+N39+O39=0,1,0)</f>
        <v/>
      </c>
      <c r="R39" s="9">
        <f>IF(AND(Q39=1,E39&lt;&gt;"cancelled"),COUNTIFS($B$2:$B$152,B39,$Q$2:$Q$152,1,$E$2:$E$152,"&lt;&gt;cancelled",$C$2:$C$152,"&lt;"&amp;D39,$D$2:$D$152,"&gt;"&amp;C39)-1,0)</f>
        <v/>
      </c>
      <c r="S39" s="9">
        <f>IF(AND(Q39=1,OR(R39&gt;0,P39=1)),1,0)</f>
        <v/>
      </c>
      <c r="T39" s="9">
        <f>IF(Q39=0,0,IF(AND(S39=1,Dashboard!$C$7="Нет"),0,1))</f>
        <v/>
      </c>
      <c r="U39" s="9">
        <f>IF(L39=1,"Исключено: дубль",IF(M39=1,"Исключено: нет объекта",IF(N39=1,"Исключено: валюта",IF(O39=1,"Исключено: возврат/статус",IF(S39=1,"На проверке","OK")))))</f>
        <v/>
      </c>
      <c r="V39" s="25">
        <f>SUMIFS(commission_rules!$D$2:$D$21,commission_rules!$A$2:$A$21,B39,commission_rules!$B$2:$B$21,"&lt;="&amp;C39,commission_rules!$C$2:$C$21,"&gt;="&amp;C39)</f>
        <v/>
      </c>
      <c r="W39" s="10">
        <f>F39-I39</f>
        <v/>
      </c>
      <c r="X39" s="10">
        <f>IF(F39=0,0,H39*W39/F39)</f>
        <v/>
      </c>
      <c r="Y39" s="10">
        <f>V39*W39</f>
        <v/>
      </c>
      <c r="Z39" s="10">
        <f>W39-X39</f>
        <v/>
      </c>
      <c r="AA39" s="10">
        <f>SUMIFS(calc_payments!$N$2:$N$77,calc_payments!$B$2:$B$77,A39)</f>
        <v/>
      </c>
      <c r="AB39" s="10">
        <f>AA39-Z39</f>
        <v/>
      </c>
      <c r="AC39" s="9">
        <f>IF(T39=0,"",IF(AA39=0,IF(Z39=0,"нечего получать","нет платежа"),IF(ABS(AB39)&lt;1,"сходится","расхождение")))</f>
        <v/>
      </c>
      <c r="AD39" s="9">
        <f>MAX(0,MIN(D39,Dashboard!$C$6+1)-MAX(C39,Dashboard!$C$5))</f>
        <v/>
      </c>
      <c r="AE39" s="26">
        <f>IF(K39=0,0,AD39/K39)*T39</f>
        <v/>
      </c>
      <c r="AF39" s="10">
        <f>F39*AE39</f>
        <v/>
      </c>
      <c r="AG39" s="10">
        <f>I39*AE39</f>
        <v/>
      </c>
      <c r="AH39" s="10">
        <f>W39*AE39</f>
        <v/>
      </c>
      <c r="AI39" s="10">
        <f>X39*AE39</f>
        <v/>
      </c>
      <c r="AJ39" s="10">
        <f>Y39*AE39</f>
        <v/>
      </c>
      <c r="AK39" s="9">
        <f>IF(AND(T39=1,AD39&gt;0),1,0)</f>
        <v/>
      </c>
      <c r="AL39" s="10">
        <f>Z39*AK39</f>
        <v/>
      </c>
      <c r="AM39" s="10">
        <f>AA39*AK39</f>
        <v/>
      </c>
      <c r="AN39" s="9">
        <f>AD39*T39</f>
        <v/>
      </c>
      <c r="AO39" s="9">
        <f>S39*AK39</f>
        <v/>
      </c>
    </row>
    <row r="40">
      <c r="A40" s="9">
        <f>raw_reservations!A40</f>
        <v/>
      </c>
      <c r="B40" s="9">
        <f>raw_reservations!B40</f>
        <v/>
      </c>
      <c r="C40" s="24">
        <f>raw_reservations!C40</f>
        <v/>
      </c>
      <c r="D40" s="24">
        <f>raw_reservations!D40</f>
        <v/>
      </c>
      <c r="E40" s="9">
        <f>raw_reservations!E40</f>
        <v/>
      </c>
      <c r="F40" s="10">
        <f>raw_reservations!F40</f>
        <v/>
      </c>
      <c r="G40" s="9">
        <f>raw_reservations!G40</f>
        <v/>
      </c>
      <c r="H40" s="10">
        <f>raw_reservations!H40</f>
        <v/>
      </c>
      <c r="I40" s="10">
        <f>raw_reservations!I40</f>
        <v/>
      </c>
      <c r="J40" s="9">
        <f>raw_reservations!J40</f>
        <v/>
      </c>
      <c r="K40" s="9">
        <f>D40-C40</f>
        <v/>
      </c>
      <c r="L40" s="9">
        <f>IF(COUNTIF(A$2:A40,A40)&gt;1,1,0)</f>
        <v/>
      </c>
      <c r="M40" s="9">
        <f>IF(COUNTIF(properties!$A$2:$A$21,B40)=0,1,0)</f>
        <v/>
      </c>
      <c r="N40" s="9">
        <f>IF(M40=1,0,IF(G40&lt;&gt;INDEX(properties!$E$2:$E$21,MATCH(B40,properties!$A$2:$A$21,0)),1,0))</f>
        <v/>
      </c>
      <c r="O40" s="9">
        <f>IF(OR(I40&gt;F40,AND(E40&lt;&gt;"cancelled",I40&gt;0)),1,0)</f>
        <v/>
      </c>
      <c r="P40" s="9">
        <f>IF(H40&lt;0,1,0)</f>
        <v/>
      </c>
      <c r="Q40" s="9">
        <f>IF(L40+M40+N40+O40=0,1,0)</f>
        <v/>
      </c>
      <c r="R40" s="9">
        <f>IF(AND(Q40=1,E40&lt;&gt;"cancelled"),COUNTIFS($B$2:$B$152,B40,$Q$2:$Q$152,1,$E$2:$E$152,"&lt;&gt;cancelled",$C$2:$C$152,"&lt;"&amp;D40,$D$2:$D$152,"&gt;"&amp;C40)-1,0)</f>
        <v/>
      </c>
      <c r="S40" s="9">
        <f>IF(AND(Q40=1,OR(R40&gt;0,P40=1)),1,0)</f>
        <v/>
      </c>
      <c r="T40" s="9">
        <f>IF(Q40=0,0,IF(AND(S40=1,Dashboard!$C$7="Нет"),0,1))</f>
        <v/>
      </c>
      <c r="U40" s="9">
        <f>IF(L40=1,"Исключено: дубль",IF(M40=1,"Исключено: нет объекта",IF(N40=1,"Исключено: валюта",IF(O40=1,"Исключено: возврат/статус",IF(S40=1,"На проверке","OK")))))</f>
        <v/>
      </c>
      <c r="V40" s="25">
        <f>SUMIFS(commission_rules!$D$2:$D$21,commission_rules!$A$2:$A$21,B40,commission_rules!$B$2:$B$21,"&lt;="&amp;C40,commission_rules!$C$2:$C$21,"&gt;="&amp;C40)</f>
        <v/>
      </c>
      <c r="W40" s="10">
        <f>F40-I40</f>
        <v/>
      </c>
      <c r="X40" s="10">
        <f>IF(F40=0,0,H40*W40/F40)</f>
        <v/>
      </c>
      <c r="Y40" s="10">
        <f>V40*W40</f>
        <v/>
      </c>
      <c r="Z40" s="10">
        <f>W40-X40</f>
        <v/>
      </c>
      <c r="AA40" s="10">
        <f>SUMIFS(calc_payments!$N$2:$N$77,calc_payments!$B$2:$B$77,A40)</f>
        <v/>
      </c>
      <c r="AB40" s="10">
        <f>AA40-Z40</f>
        <v/>
      </c>
      <c r="AC40" s="9">
        <f>IF(T40=0,"",IF(AA40=0,IF(Z40=0,"нечего получать","нет платежа"),IF(ABS(AB40)&lt;1,"сходится","расхождение")))</f>
        <v/>
      </c>
      <c r="AD40" s="9">
        <f>MAX(0,MIN(D40,Dashboard!$C$6+1)-MAX(C40,Dashboard!$C$5))</f>
        <v/>
      </c>
      <c r="AE40" s="26">
        <f>IF(K40=0,0,AD40/K40)*T40</f>
        <v/>
      </c>
      <c r="AF40" s="10">
        <f>F40*AE40</f>
        <v/>
      </c>
      <c r="AG40" s="10">
        <f>I40*AE40</f>
        <v/>
      </c>
      <c r="AH40" s="10">
        <f>W40*AE40</f>
        <v/>
      </c>
      <c r="AI40" s="10">
        <f>X40*AE40</f>
        <v/>
      </c>
      <c r="AJ40" s="10">
        <f>Y40*AE40</f>
        <v/>
      </c>
      <c r="AK40" s="9">
        <f>IF(AND(T40=1,AD40&gt;0),1,0)</f>
        <v/>
      </c>
      <c r="AL40" s="10">
        <f>Z40*AK40</f>
        <v/>
      </c>
      <c r="AM40" s="10">
        <f>AA40*AK40</f>
        <v/>
      </c>
      <c r="AN40" s="9">
        <f>AD40*T40</f>
        <v/>
      </c>
      <c r="AO40" s="9">
        <f>S40*AK40</f>
        <v/>
      </c>
    </row>
    <row r="41">
      <c r="A41" s="9">
        <f>raw_reservations!A41</f>
        <v/>
      </c>
      <c r="B41" s="9">
        <f>raw_reservations!B41</f>
        <v/>
      </c>
      <c r="C41" s="24">
        <f>raw_reservations!C41</f>
        <v/>
      </c>
      <c r="D41" s="24">
        <f>raw_reservations!D41</f>
        <v/>
      </c>
      <c r="E41" s="9">
        <f>raw_reservations!E41</f>
        <v/>
      </c>
      <c r="F41" s="10">
        <f>raw_reservations!F41</f>
        <v/>
      </c>
      <c r="G41" s="9">
        <f>raw_reservations!G41</f>
        <v/>
      </c>
      <c r="H41" s="10">
        <f>raw_reservations!H41</f>
        <v/>
      </c>
      <c r="I41" s="10">
        <f>raw_reservations!I41</f>
        <v/>
      </c>
      <c r="J41" s="9">
        <f>raw_reservations!J41</f>
        <v/>
      </c>
      <c r="K41" s="9">
        <f>D41-C41</f>
        <v/>
      </c>
      <c r="L41" s="9">
        <f>IF(COUNTIF(A$2:A41,A41)&gt;1,1,0)</f>
        <v/>
      </c>
      <c r="M41" s="9">
        <f>IF(COUNTIF(properties!$A$2:$A$21,B41)=0,1,0)</f>
        <v/>
      </c>
      <c r="N41" s="9">
        <f>IF(M41=1,0,IF(G41&lt;&gt;INDEX(properties!$E$2:$E$21,MATCH(B41,properties!$A$2:$A$21,0)),1,0))</f>
        <v/>
      </c>
      <c r="O41" s="9">
        <f>IF(OR(I41&gt;F41,AND(E41&lt;&gt;"cancelled",I41&gt;0)),1,0)</f>
        <v/>
      </c>
      <c r="P41" s="9">
        <f>IF(H41&lt;0,1,0)</f>
        <v/>
      </c>
      <c r="Q41" s="9">
        <f>IF(L41+M41+N41+O41=0,1,0)</f>
        <v/>
      </c>
      <c r="R41" s="9">
        <f>IF(AND(Q41=1,E41&lt;&gt;"cancelled"),COUNTIFS($B$2:$B$152,B41,$Q$2:$Q$152,1,$E$2:$E$152,"&lt;&gt;cancelled",$C$2:$C$152,"&lt;"&amp;D41,$D$2:$D$152,"&gt;"&amp;C41)-1,0)</f>
        <v/>
      </c>
      <c r="S41" s="9">
        <f>IF(AND(Q41=1,OR(R41&gt;0,P41=1)),1,0)</f>
        <v/>
      </c>
      <c r="T41" s="9">
        <f>IF(Q41=0,0,IF(AND(S41=1,Dashboard!$C$7="Нет"),0,1))</f>
        <v/>
      </c>
      <c r="U41" s="9">
        <f>IF(L41=1,"Исключено: дубль",IF(M41=1,"Исключено: нет объекта",IF(N41=1,"Исключено: валюта",IF(O41=1,"Исключено: возврат/статус",IF(S41=1,"На проверке","OK")))))</f>
        <v/>
      </c>
      <c r="V41" s="25">
        <f>SUMIFS(commission_rules!$D$2:$D$21,commission_rules!$A$2:$A$21,B41,commission_rules!$B$2:$B$21,"&lt;="&amp;C41,commission_rules!$C$2:$C$21,"&gt;="&amp;C41)</f>
        <v/>
      </c>
      <c r="W41" s="10">
        <f>F41-I41</f>
        <v/>
      </c>
      <c r="X41" s="10">
        <f>IF(F41=0,0,H41*W41/F41)</f>
        <v/>
      </c>
      <c r="Y41" s="10">
        <f>V41*W41</f>
        <v/>
      </c>
      <c r="Z41" s="10">
        <f>W41-X41</f>
        <v/>
      </c>
      <c r="AA41" s="10">
        <f>SUMIFS(calc_payments!$N$2:$N$77,calc_payments!$B$2:$B$77,A41)</f>
        <v/>
      </c>
      <c r="AB41" s="10">
        <f>AA41-Z41</f>
        <v/>
      </c>
      <c r="AC41" s="9">
        <f>IF(T41=0,"",IF(AA41=0,IF(Z41=0,"нечего получать","нет платежа"),IF(ABS(AB41)&lt;1,"сходится","расхождение")))</f>
        <v/>
      </c>
      <c r="AD41" s="9">
        <f>MAX(0,MIN(D41,Dashboard!$C$6+1)-MAX(C41,Dashboard!$C$5))</f>
        <v/>
      </c>
      <c r="AE41" s="26">
        <f>IF(K41=0,0,AD41/K41)*T41</f>
        <v/>
      </c>
      <c r="AF41" s="10">
        <f>F41*AE41</f>
        <v/>
      </c>
      <c r="AG41" s="10">
        <f>I41*AE41</f>
        <v/>
      </c>
      <c r="AH41" s="10">
        <f>W41*AE41</f>
        <v/>
      </c>
      <c r="AI41" s="10">
        <f>X41*AE41</f>
        <v/>
      </c>
      <c r="AJ41" s="10">
        <f>Y41*AE41</f>
        <v/>
      </c>
      <c r="AK41" s="9">
        <f>IF(AND(T41=1,AD41&gt;0),1,0)</f>
        <v/>
      </c>
      <c r="AL41" s="10">
        <f>Z41*AK41</f>
        <v/>
      </c>
      <c r="AM41" s="10">
        <f>AA41*AK41</f>
        <v/>
      </c>
      <c r="AN41" s="9">
        <f>AD41*T41</f>
        <v/>
      </c>
      <c r="AO41" s="9">
        <f>S41*AK41</f>
        <v/>
      </c>
    </row>
    <row r="42">
      <c r="A42" s="9">
        <f>raw_reservations!A42</f>
        <v/>
      </c>
      <c r="B42" s="9">
        <f>raw_reservations!B42</f>
        <v/>
      </c>
      <c r="C42" s="24">
        <f>raw_reservations!C42</f>
        <v/>
      </c>
      <c r="D42" s="24">
        <f>raw_reservations!D42</f>
        <v/>
      </c>
      <c r="E42" s="9">
        <f>raw_reservations!E42</f>
        <v/>
      </c>
      <c r="F42" s="10">
        <f>raw_reservations!F42</f>
        <v/>
      </c>
      <c r="G42" s="9">
        <f>raw_reservations!G42</f>
        <v/>
      </c>
      <c r="H42" s="10">
        <f>raw_reservations!H42</f>
        <v/>
      </c>
      <c r="I42" s="10">
        <f>raw_reservations!I42</f>
        <v/>
      </c>
      <c r="J42" s="9">
        <f>raw_reservations!J42</f>
        <v/>
      </c>
      <c r="K42" s="9">
        <f>D42-C42</f>
        <v/>
      </c>
      <c r="L42" s="9">
        <f>IF(COUNTIF(A$2:A42,A42)&gt;1,1,0)</f>
        <v/>
      </c>
      <c r="M42" s="9">
        <f>IF(COUNTIF(properties!$A$2:$A$21,B42)=0,1,0)</f>
        <v/>
      </c>
      <c r="N42" s="9">
        <f>IF(M42=1,0,IF(G42&lt;&gt;INDEX(properties!$E$2:$E$21,MATCH(B42,properties!$A$2:$A$21,0)),1,0))</f>
        <v/>
      </c>
      <c r="O42" s="9">
        <f>IF(OR(I42&gt;F42,AND(E42&lt;&gt;"cancelled",I42&gt;0)),1,0)</f>
        <v/>
      </c>
      <c r="P42" s="9">
        <f>IF(H42&lt;0,1,0)</f>
        <v/>
      </c>
      <c r="Q42" s="9">
        <f>IF(L42+M42+N42+O42=0,1,0)</f>
        <v/>
      </c>
      <c r="R42" s="9">
        <f>IF(AND(Q42=1,E42&lt;&gt;"cancelled"),COUNTIFS($B$2:$B$152,B42,$Q$2:$Q$152,1,$E$2:$E$152,"&lt;&gt;cancelled",$C$2:$C$152,"&lt;"&amp;D42,$D$2:$D$152,"&gt;"&amp;C42)-1,0)</f>
        <v/>
      </c>
      <c r="S42" s="9">
        <f>IF(AND(Q42=1,OR(R42&gt;0,P42=1)),1,0)</f>
        <v/>
      </c>
      <c r="T42" s="9">
        <f>IF(Q42=0,0,IF(AND(S42=1,Dashboard!$C$7="Нет"),0,1))</f>
        <v/>
      </c>
      <c r="U42" s="9">
        <f>IF(L42=1,"Исключено: дубль",IF(M42=1,"Исключено: нет объекта",IF(N42=1,"Исключено: валюта",IF(O42=1,"Исключено: возврат/статус",IF(S42=1,"На проверке","OK")))))</f>
        <v/>
      </c>
      <c r="V42" s="25">
        <f>SUMIFS(commission_rules!$D$2:$D$21,commission_rules!$A$2:$A$21,B42,commission_rules!$B$2:$B$21,"&lt;="&amp;C42,commission_rules!$C$2:$C$21,"&gt;="&amp;C42)</f>
        <v/>
      </c>
      <c r="W42" s="10">
        <f>F42-I42</f>
        <v/>
      </c>
      <c r="X42" s="10">
        <f>IF(F42=0,0,H42*W42/F42)</f>
        <v/>
      </c>
      <c r="Y42" s="10">
        <f>V42*W42</f>
        <v/>
      </c>
      <c r="Z42" s="10">
        <f>W42-X42</f>
        <v/>
      </c>
      <c r="AA42" s="10">
        <f>SUMIFS(calc_payments!$N$2:$N$77,calc_payments!$B$2:$B$77,A42)</f>
        <v/>
      </c>
      <c r="AB42" s="10">
        <f>AA42-Z42</f>
        <v/>
      </c>
      <c r="AC42" s="9">
        <f>IF(T42=0,"",IF(AA42=0,IF(Z42=0,"нечего получать","нет платежа"),IF(ABS(AB42)&lt;1,"сходится","расхождение")))</f>
        <v/>
      </c>
      <c r="AD42" s="9">
        <f>MAX(0,MIN(D42,Dashboard!$C$6+1)-MAX(C42,Dashboard!$C$5))</f>
        <v/>
      </c>
      <c r="AE42" s="26">
        <f>IF(K42=0,0,AD42/K42)*T42</f>
        <v/>
      </c>
      <c r="AF42" s="10">
        <f>F42*AE42</f>
        <v/>
      </c>
      <c r="AG42" s="10">
        <f>I42*AE42</f>
        <v/>
      </c>
      <c r="AH42" s="10">
        <f>W42*AE42</f>
        <v/>
      </c>
      <c r="AI42" s="10">
        <f>X42*AE42</f>
        <v/>
      </c>
      <c r="AJ42" s="10">
        <f>Y42*AE42</f>
        <v/>
      </c>
      <c r="AK42" s="9">
        <f>IF(AND(T42=1,AD42&gt;0),1,0)</f>
        <v/>
      </c>
      <c r="AL42" s="10">
        <f>Z42*AK42</f>
        <v/>
      </c>
      <c r="AM42" s="10">
        <f>AA42*AK42</f>
        <v/>
      </c>
      <c r="AN42" s="9">
        <f>AD42*T42</f>
        <v/>
      </c>
      <c r="AO42" s="9">
        <f>S42*AK42</f>
        <v/>
      </c>
    </row>
    <row r="43">
      <c r="A43" s="9">
        <f>raw_reservations!A43</f>
        <v/>
      </c>
      <c r="B43" s="9">
        <f>raw_reservations!B43</f>
        <v/>
      </c>
      <c r="C43" s="24">
        <f>raw_reservations!C43</f>
        <v/>
      </c>
      <c r="D43" s="24">
        <f>raw_reservations!D43</f>
        <v/>
      </c>
      <c r="E43" s="9">
        <f>raw_reservations!E43</f>
        <v/>
      </c>
      <c r="F43" s="10">
        <f>raw_reservations!F43</f>
        <v/>
      </c>
      <c r="G43" s="9">
        <f>raw_reservations!G43</f>
        <v/>
      </c>
      <c r="H43" s="10">
        <f>raw_reservations!H43</f>
        <v/>
      </c>
      <c r="I43" s="10">
        <f>raw_reservations!I43</f>
        <v/>
      </c>
      <c r="J43" s="9">
        <f>raw_reservations!J43</f>
        <v/>
      </c>
      <c r="K43" s="9">
        <f>D43-C43</f>
        <v/>
      </c>
      <c r="L43" s="9">
        <f>IF(COUNTIF(A$2:A43,A43)&gt;1,1,0)</f>
        <v/>
      </c>
      <c r="M43" s="9">
        <f>IF(COUNTIF(properties!$A$2:$A$21,B43)=0,1,0)</f>
        <v/>
      </c>
      <c r="N43" s="9">
        <f>IF(M43=1,0,IF(G43&lt;&gt;INDEX(properties!$E$2:$E$21,MATCH(B43,properties!$A$2:$A$21,0)),1,0))</f>
        <v/>
      </c>
      <c r="O43" s="9">
        <f>IF(OR(I43&gt;F43,AND(E43&lt;&gt;"cancelled",I43&gt;0)),1,0)</f>
        <v/>
      </c>
      <c r="P43" s="9">
        <f>IF(H43&lt;0,1,0)</f>
        <v/>
      </c>
      <c r="Q43" s="9">
        <f>IF(L43+M43+N43+O43=0,1,0)</f>
        <v/>
      </c>
      <c r="R43" s="9">
        <f>IF(AND(Q43=1,E43&lt;&gt;"cancelled"),COUNTIFS($B$2:$B$152,B43,$Q$2:$Q$152,1,$E$2:$E$152,"&lt;&gt;cancelled",$C$2:$C$152,"&lt;"&amp;D43,$D$2:$D$152,"&gt;"&amp;C43)-1,0)</f>
        <v/>
      </c>
      <c r="S43" s="9">
        <f>IF(AND(Q43=1,OR(R43&gt;0,P43=1)),1,0)</f>
        <v/>
      </c>
      <c r="T43" s="9">
        <f>IF(Q43=0,0,IF(AND(S43=1,Dashboard!$C$7="Нет"),0,1))</f>
        <v/>
      </c>
      <c r="U43" s="9">
        <f>IF(L43=1,"Исключено: дубль",IF(M43=1,"Исключено: нет объекта",IF(N43=1,"Исключено: валюта",IF(O43=1,"Исключено: возврат/статус",IF(S43=1,"На проверке","OK")))))</f>
        <v/>
      </c>
      <c r="V43" s="25">
        <f>SUMIFS(commission_rules!$D$2:$D$21,commission_rules!$A$2:$A$21,B43,commission_rules!$B$2:$B$21,"&lt;="&amp;C43,commission_rules!$C$2:$C$21,"&gt;="&amp;C43)</f>
        <v/>
      </c>
      <c r="W43" s="10">
        <f>F43-I43</f>
        <v/>
      </c>
      <c r="X43" s="10">
        <f>IF(F43=0,0,H43*W43/F43)</f>
        <v/>
      </c>
      <c r="Y43" s="10">
        <f>V43*W43</f>
        <v/>
      </c>
      <c r="Z43" s="10">
        <f>W43-X43</f>
        <v/>
      </c>
      <c r="AA43" s="10">
        <f>SUMIFS(calc_payments!$N$2:$N$77,calc_payments!$B$2:$B$77,A43)</f>
        <v/>
      </c>
      <c r="AB43" s="10">
        <f>AA43-Z43</f>
        <v/>
      </c>
      <c r="AC43" s="9">
        <f>IF(T43=0,"",IF(AA43=0,IF(Z43=0,"нечего получать","нет платежа"),IF(ABS(AB43)&lt;1,"сходится","расхождение")))</f>
        <v/>
      </c>
      <c r="AD43" s="9">
        <f>MAX(0,MIN(D43,Dashboard!$C$6+1)-MAX(C43,Dashboard!$C$5))</f>
        <v/>
      </c>
      <c r="AE43" s="26">
        <f>IF(K43=0,0,AD43/K43)*T43</f>
        <v/>
      </c>
      <c r="AF43" s="10">
        <f>F43*AE43</f>
        <v/>
      </c>
      <c r="AG43" s="10">
        <f>I43*AE43</f>
        <v/>
      </c>
      <c r="AH43" s="10">
        <f>W43*AE43</f>
        <v/>
      </c>
      <c r="AI43" s="10">
        <f>X43*AE43</f>
        <v/>
      </c>
      <c r="AJ43" s="10">
        <f>Y43*AE43</f>
        <v/>
      </c>
      <c r="AK43" s="9">
        <f>IF(AND(T43=1,AD43&gt;0),1,0)</f>
        <v/>
      </c>
      <c r="AL43" s="10">
        <f>Z43*AK43</f>
        <v/>
      </c>
      <c r="AM43" s="10">
        <f>AA43*AK43</f>
        <v/>
      </c>
      <c r="AN43" s="9">
        <f>AD43*T43</f>
        <v/>
      </c>
      <c r="AO43" s="9">
        <f>S43*AK43</f>
        <v/>
      </c>
    </row>
    <row r="44">
      <c r="A44" s="9">
        <f>raw_reservations!A44</f>
        <v/>
      </c>
      <c r="B44" s="9">
        <f>raw_reservations!B44</f>
        <v/>
      </c>
      <c r="C44" s="24">
        <f>raw_reservations!C44</f>
        <v/>
      </c>
      <c r="D44" s="24">
        <f>raw_reservations!D44</f>
        <v/>
      </c>
      <c r="E44" s="9">
        <f>raw_reservations!E44</f>
        <v/>
      </c>
      <c r="F44" s="10">
        <f>raw_reservations!F44</f>
        <v/>
      </c>
      <c r="G44" s="9">
        <f>raw_reservations!G44</f>
        <v/>
      </c>
      <c r="H44" s="10">
        <f>raw_reservations!H44</f>
        <v/>
      </c>
      <c r="I44" s="10">
        <f>raw_reservations!I44</f>
        <v/>
      </c>
      <c r="J44" s="9">
        <f>raw_reservations!J44</f>
        <v/>
      </c>
      <c r="K44" s="9">
        <f>D44-C44</f>
        <v/>
      </c>
      <c r="L44" s="9">
        <f>IF(COUNTIF(A$2:A44,A44)&gt;1,1,0)</f>
        <v/>
      </c>
      <c r="M44" s="9">
        <f>IF(COUNTIF(properties!$A$2:$A$21,B44)=0,1,0)</f>
        <v/>
      </c>
      <c r="N44" s="9">
        <f>IF(M44=1,0,IF(G44&lt;&gt;INDEX(properties!$E$2:$E$21,MATCH(B44,properties!$A$2:$A$21,0)),1,0))</f>
        <v/>
      </c>
      <c r="O44" s="9">
        <f>IF(OR(I44&gt;F44,AND(E44&lt;&gt;"cancelled",I44&gt;0)),1,0)</f>
        <v/>
      </c>
      <c r="P44" s="9">
        <f>IF(H44&lt;0,1,0)</f>
        <v/>
      </c>
      <c r="Q44" s="9">
        <f>IF(L44+M44+N44+O44=0,1,0)</f>
        <v/>
      </c>
      <c r="R44" s="9">
        <f>IF(AND(Q44=1,E44&lt;&gt;"cancelled"),COUNTIFS($B$2:$B$152,B44,$Q$2:$Q$152,1,$E$2:$E$152,"&lt;&gt;cancelled",$C$2:$C$152,"&lt;"&amp;D44,$D$2:$D$152,"&gt;"&amp;C44)-1,0)</f>
        <v/>
      </c>
      <c r="S44" s="9">
        <f>IF(AND(Q44=1,OR(R44&gt;0,P44=1)),1,0)</f>
        <v/>
      </c>
      <c r="T44" s="9">
        <f>IF(Q44=0,0,IF(AND(S44=1,Dashboard!$C$7="Нет"),0,1))</f>
        <v/>
      </c>
      <c r="U44" s="9">
        <f>IF(L44=1,"Исключено: дубль",IF(M44=1,"Исключено: нет объекта",IF(N44=1,"Исключено: валюта",IF(O44=1,"Исключено: возврат/статус",IF(S44=1,"На проверке","OK")))))</f>
        <v/>
      </c>
      <c r="V44" s="25">
        <f>SUMIFS(commission_rules!$D$2:$D$21,commission_rules!$A$2:$A$21,B44,commission_rules!$B$2:$B$21,"&lt;="&amp;C44,commission_rules!$C$2:$C$21,"&gt;="&amp;C44)</f>
        <v/>
      </c>
      <c r="W44" s="10">
        <f>F44-I44</f>
        <v/>
      </c>
      <c r="X44" s="10">
        <f>IF(F44=0,0,H44*W44/F44)</f>
        <v/>
      </c>
      <c r="Y44" s="10">
        <f>V44*W44</f>
        <v/>
      </c>
      <c r="Z44" s="10">
        <f>W44-X44</f>
        <v/>
      </c>
      <c r="AA44" s="10">
        <f>SUMIFS(calc_payments!$N$2:$N$77,calc_payments!$B$2:$B$77,A44)</f>
        <v/>
      </c>
      <c r="AB44" s="10">
        <f>AA44-Z44</f>
        <v/>
      </c>
      <c r="AC44" s="9">
        <f>IF(T44=0,"",IF(AA44=0,IF(Z44=0,"нечего получать","нет платежа"),IF(ABS(AB44)&lt;1,"сходится","расхождение")))</f>
        <v/>
      </c>
      <c r="AD44" s="9">
        <f>MAX(0,MIN(D44,Dashboard!$C$6+1)-MAX(C44,Dashboard!$C$5))</f>
        <v/>
      </c>
      <c r="AE44" s="26">
        <f>IF(K44=0,0,AD44/K44)*T44</f>
        <v/>
      </c>
      <c r="AF44" s="10">
        <f>F44*AE44</f>
        <v/>
      </c>
      <c r="AG44" s="10">
        <f>I44*AE44</f>
        <v/>
      </c>
      <c r="AH44" s="10">
        <f>W44*AE44</f>
        <v/>
      </c>
      <c r="AI44" s="10">
        <f>X44*AE44</f>
        <v/>
      </c>
      <c r="AJ44" s="10">
        <f>Y44*AE44</f>
        <v/>
      </c>
      <c r="AK44" s="9">
        <f>IF(AND(T44=1,AD44&gt;0),1,0)</f>
        <v/>
      </c>
      <c r="AL44" s="10">
        <f>Z44*AK44</f>
        <v/>
      </c>
      <c r="AM44" s="10">
        <f>AA44*AK44</f>
        <v/>
      </c>
      <c r="AN44" s="9">
        <f>AD44*T44</f>
        <v/>
      </c>
      <c r="AO44" s="9">
        <f>S44*AK44</f>
        <v/>
      </c>
    </row>
    <row r="45">
      <c r="A45" s="9">
        <f>raw_reservations!A45</f>
        <v/>
      </c>
      <c r="B45" s="9">
        <f>raw_reservations!B45</f>
        <v/>
      </c>
      <c r="C45" s="24">
        <f>raw_reservations!C45</f>
        <v/>
      </c>
      <c r="D45" s="24">
        <f>raw_reservations!D45</f>
        <v/>
      </c>
      <c r="E45" s="9">
        <f>raw_reservations!E45</f>
        <v/>
      </c>
      <c r="F45" s="10">
        <f>raw_reservations!F45</f>
        <v/>
      </c>
      <c r="G45" s="9">
        <f>raw_reservations!G45</f>
        <v/>
      </c>
      <c r="H45" s="10">
        <f>raw_reservations!H45</f>
        <v/>
      </c>
      <c r="I45" s="10">
        <f>raw_reservations!I45</f>
        <v/>
      </c>
      <c r="J45" s="9">
        <f>raw_reservations!J45</f>
        <v/>
      </c>
      <c r="K45" s="9">
        <f>D45-C45</f>
        <v/>
      </c>
      <c r="L45" s="9">
        <f>IF(COUNTIF(A$2:A45,A45)&gt;1,1,0)</f>
        <v/>
      </c>
      <c r="M45" s="9">
        <f>IF(COUNTIF(properties!$A$2:$A$21,B45)=0,1,0)</f>
        <v/>
      </c>
      <c r="N45" s="9">
        <f>IF(M45=1,0,IF(G45&lt;&gt;INDEX(properties!$E$2:$E$21,MATCH(B45,properties!$A$2:$A$21,0)),1,0))</f>
        <v/>
      </c>
      <c r="O45" s="9">
        <f>IF(OR(I45&gt;F45,AND(E45&lt;&gt;"cancelled",I45&gt;0)),1,0)</f>
        <v/>
      </c>
      <c r="P45" s="9">
        <f>IF(H45&lt;0,1,0)</f>
        <v/>
      </c>
      <c r="Q45" s="9">
        <f>IF(L45+M45+N45+O45=0,1,0)</f>
        <v/>
      </c>
      <c r="R45" s="9">
        <f>IF(AND(Q45=1,E45&lt;&gt;"cancelled"),COUNTIFS($B$2:$B$152,B45,$Q$2:$Q$152,1,$E$2:$E$152,"&lt;&gt;cancelled",$C$2:$C$152,"&lt;"&amp;D45,$D$2:$D$152,"&gt;"&amp;C45)-1,0)</f>
        <v/>
      </c>
      <c r="S45" s="9">
        <f>IF(AND(Q45=1,OR(R45&gt;0,P45=1)),1,0)</f>
        <v/>
      </c>
      <c r="T45" s="9">
        <f>IF(Q45=0,0,IF(AND(S45=1,Dashboard!$C$7="Нет"),0,1))</f>
        <v/>
      </c>
      <c r="U45" s="9">
        <f>IF(L45=1,"Исключено: дубль",IF(M45=1,"Исключено: нет объекта",IF(N45=1,"Исключено: валюта",IF(O45=1,"Исключено: возврат/статус",IF(S45=1,"На проверке","OK")))))</f>
        <v/>
      </c>
      <c r="V45" s="25">
        <f>SUMIFS(commission_rules!$D$2:$D$21,commission_rules!$A$2:$A$21,B45,commission_rules!$B$2:$B$21,"&lt;="&amp;C45,commission_rules!$C$2:$C$21,"&gt;="&amp;C45)</f>
        <v/>
      </c>
      <c r="W45" s="10">
        <f>F45-I45</f>
        <v/>
      </c>
      <c r="X45" s="10">
        <f>IF(F45=0,0,H45*W45/F45)</f>
        <v/>
      </c>
      <c r="Y45" s="10">
        <f>V45*W45</f>
        <v/>
      </c>
      <c r="Z45" s="10">
        <f>W45-X45</f>
        <v/>
      </c>
      <c r="AA45" s="10">
        <f>SUMIFS(calc_payments!$N$2:$N$77,calc_payments!$B$2:$B$77,A45)</f>
        <v/>
      </c>
      <c r="AB45" s="10">
        <f>AA45-Z45</f>
        <v/>
      </c>
      <c r="AC45" s="9">
        <f>IF(T45=0,"",IF(AA45=0,IF(Z45=0,"нечего получать","нет платежа"),IF(ABS(AB45)&lt;1,"сходится","расхождение")))</f>
        <v/>
      </c>
      <c r="AD45" s="9">
        <f>MAX(0,MIN(D45,Dashboard!$C$6+1)-MAX(C45,Dashboard!$C$5))</f>
        <v/>
      </c>
      <c r="AE45" s="26">
        <f>IF(K45=0,0,AD45/K45)*T45</f>
        <v/>
      </c>
      <c r="AF45" s="10">
        <f>F45*AE45</f>
        <v/>
      </c>
      <c r="AG45" s="10">
        <f>I45*AE45</f>
        <v/>
      </c>
      <c r="AH45" s="10">
        <f>W45*AE45</f>
        <v/>
      </c>
      <c r="AI45" s="10">
        <f>X45*AE45</f>
        <v/>
      </c>
      <c r="AJ45" s="10">
        <f>Y45*AE45</f>
        <v/>
      </c>
      <c r="AK45" s="9">
        <f>IF(AND(T45=1,AD45&gt;0),1,0)</f>
        <v/>
      </c>
      <c r="AL45" s="10">
        <f>Z45*AK45</f>
        <v/>
      </c>
      <c r="AM45" s="10">
        <f>AA45*AK45</f>
        <v/>
      </c>
      <c r="AN45" s="9">
        <f>AD45*T45</f>
        <v/>
      </c>
      <c r="AO45" s="9">
        <f>S45*AK45</f>
        <v/>
      </c>
    </row>
    <row r="46">
      <c r="A46" s="9">
        <f>raw_reservations!A46</f>
        <v/>
      </c>
      <c r="B46" s="9">
        <f>raw_reservations!B46</f>
        <v/>
      </c>
      <c r="C46" s="24">
        <f>raw_reservations!C46</f>
        <v/>
      </c>
      <c r="D46" s="24">
        <f>raw_reservations!D46</f>
        <v/>
      </c>
      <c r="E46" s="9">
        <f>raw_reservations!E46</f>
        <v/>
      </c>
      <c r="F46" s="10">
        <f>raw_reservations!F46</f>
        <v/>
      </c>
      <c r="G46" s="9">
        <f>raw_reservations!G46</f>
        <v/>
      </c>
      <c r="H46" s="10">
        <f>raw_reservations!H46</f>
        <v/>
      </c>
      <c r="I46" s="10">
        <f>raw_reservations!I46</f>
        <v/>
      </c>
      <c r="J46" s="9">
        <f>raw_reservations!J46</f>
        <v/>
      </c>
      <c r="K46" s="9">
        <f>D46-C46</f>
        <v/>
      </c>
      <c r="L46" s="9">
        <f>IF(COUNTIF(A$2:A46,A46)&gt;1,1,0)</f>
        <v/>
      </c>
      <c r="M46" s="9">
        <f>IF(COUNTIF(properties!$A$2:$A$21,B46)=0,1,0)</f>
        <v/>
      </c>
      <c r="N46" s="9">
        <f>IF(M46=1,0,IF(G46&lt;&gt;INDEX(properties!$E$2:$E$21,MATCH(B46,properties!$A$2:$A$21,0)),1,0))</f>
        <v/>
      </c>
      <c r="O46" s="9">
        <f>IF(OR(I46&gt;F46,AND(E46&lt;&gt;"cancelled",I46&gt;0)),1,0)</f>
        <v/>
      </c>
      <c r="P46" s="9">
        <f>IF(H46&lt;0,1,0)</f>
        <v/>
      </c>
      <c r="Q46" s="9">
        <f>IF(L46+M46+N46+O46=0,1,0)</f>
        <v/>
      </c>
      <c r="R46" s="9">
        <f>IF(AND(Q46=1,E46&lt;&gt;"cancelled"),COUNTIFS($B$2:$B$152,B46,$Q$2:$Q$152,1,$E$2:$E$152,"&lt;&gt;cancelled",$C$2:$C$152,"&lt;"&amp;D46,$D$2:$D$152,"&gt;"&amp;C46)-1,0)</f>
        <v/>
      </c>
      <c r="S46" s="9">
        <f>IF(AND(Q46=1,OR(R46&gt;0,P46=1)),1,0)</f>
        <v/>
      </c>
      <c r="T46" s="9">
        <f>IF(Q46=0,0,IF(AND(S46=1,Dashboard!$C$7="Нет"),0,1))</f>
        <v/>
      </c>
      <c r="U46" s="9">
        <f>IF(L46=1,"Исключено: дубль",IF(M46=1,"Исключено: нет объекта",IF(N46=1,"Исключено: валюта",IF(O46=1,"Исключено: возврат/статус",IF(S46=1,"На проверке","OK")))))</f>
        <v/>
      </c>
      <c r="V46" s="25">
        <f>SUMIFS(commission_rules!$D$2:$D$21,commission_rules!$A$2:$A$21,B46,commission_rules!$B$2:$B$21,"&lt;="&amp;C46,commission_rules!$C$2:$C$21,"&gt;="&amp;C46)</f>
        <v/>
      </c>
      <c r="W46" s="10">
        <f>F46-I46</f>
        <v/>
      </c>
      <c r="X46" s="10">
        <f>IF(F46=0,0,H46*W46/F46)</f>
        <v/>
      </c>
      <c r="Y46" s="10">
        <f>V46*W46</f>
        <v/>
      </c>
      <c r="Z46" s="10">
        <f>W46-X46</f>
        <v/>
      </c>
      <c r="AA46" s="10">
        <f>SUMIFS(calc_payments!$N$2:$N$77,calc_payments!$B$2:$B$77,A46)</f>
        <v/>
      </c>
      <c r="AB46" s="10">
        <f>AA46-Z46</f>
        <v/>
      </c>
      <c r="AC46" s="9">
        <f>IF(T46=0,"",IF(AA46=0,IF(Z46=0,"нечего получать","нет платежа"),IF(ABS(AB46)&lt;1,"сходится","расхождение")))</f>
        <v/>
      </c>
      <c r="AD46" s="9">
        <f>MAX(0,MIN(D46,Dashboard!$C$6+1)-MAX(C46,Dashboard!$C$5))</f>
        <v/>
      </c>
      <c r="AE46" s="26">
        <f>IF(K46=0,0,AD46/K46)*T46</f>
        <v/>
      </c>
      <c r="AF46" s="10">
        <f>F46*AE46</f>
        <v/>
      </c>
      <c r="AG46" s="10">
        <f>I46*AE46</f>
        <v/>
      </c>
      <c r="AH46" s="10">
        <f>W46*AE46</f>
        <v/>
      </c>
      <c r="AI46" s="10">
        <f>X46*AE46</f>
        <v/>
      </c>
      <c r="AJ46" s="10">
        <f>Y46*AE46</f>
        <v/>
      </c>
      <c r="AK46" s="9">
        <f>IF(AND(T46=1,AD46&gt;0),1,0)</f>
        <v/>
      </c>
      <c r="AL46" s="10">
        <f>Z46*AK46</f>
        <v/>
      </c>
      <c r="AM46" s="10">
        <f>AA46*AK46</f>
        <v/>
      </c>
      <c r="AN46" s="9">
        <f>AD46*T46</f>
        <v/>
      </c>
      <c r="AO46" s="9">
        <f>S46*AK46</f>
        <v/>
      </c>
    </row>
    <row r="47">
      <c r="A47" s="9">
        <f>raw_reservations!A47</f>
        <v/>
      </c>
      <c r="B47" s="9">
        <f>raw_reservations!B47</f>
        <v/>
      </c>
      <c r="C47" s="24">
        <f>raw_reservations!C47</f>
        <v/>
      </c>
      <c r="D47" s="24">
        <f>raw_reservations!D47</f>
        <v/>
      </c>
      <c r="E47" s="9">
        <f>raw_reservations!E47</f>
        <v/>
      </c>
      <c r="F47" s="10">
        <f>raw_reservations!F47</f>
        <v/>
      </c>
      <c r="G47" s="9">
        <f>raw_reservations!G47</f>
        <v/>
      </c>
      <c r="H47" s="10">
        <f>raw_reservations!H47</f>
        <v/>
      </c>
      <c r="I47" s="10">
        <f>raw_reservations!I47</f>
        <v/>
      </c>
      <c r="J47" s="9">
        <f>raw_reservations!J47</f>
        <v/>
      </c>
      <c r="K47" s="9">
        <f>D47-C47</f>
        <v/>
      </c>
      <c r="L47" s="9">
        <f>IF(COUNTIF(A$2:A47,A47)&gt;1,1,0)</f>
        <v/>
      </c>
      <c r="M47" s="9">
        <f>IF(COUNTIF(properties!$A$2:$A$21,B47)=0,1,0)</f>
        <v/>
      </c>
      <c r="N47" s="9">
        <f>IF(M47=1,0,IF(G47&lt;&gt;INDEX(properties!$E$2:$E$21,MATCH(B47,properties!$A$2:$A$21,0)),1,0))</f>
        <v/>
      </c>
      <c r="O47" s="9">
        <f>IF(OR(I47&gt;F47,AND(E47&lt;&gt;"cancelled",I47&gt;0)),1,0)</f>
        <v/>
      </c>
      <c r="P47" s="9">
        <f>IF(H47&lt;0,1,0)</f>
        <v/>
      </c>
      <c r="Q47" s="9">
        <f>IF(L47+M47+N47+O47=0,1,0)</f>
        <v/>
      </c>
      <c r="R47" s="9">
        <f>IF(AND(Q47=1,E47&lt;&gt;"cancelled"),COUNTIFS($B$2:$B$152,B47,$Q$2:$Q$152,1,$E$2:$E$152,"&lt;&gt;cancelled",$C$2:$C$152,"&lt;"&amp;D47,$D$2:$D$152,"&gt;"&amp;C47)-1,0)</f>
        <v/>
      </c>
      <c r="S47" s="9">
        <f>IF(AND(Q47=1,OR(R47&gt;0,P47=1)),1,0)</f>
        <v/>
      </c>
      <c r="T47" s="9">
        <f>IF(Q47=0,0,IF(AND(S47=1,Dashboard!$C$7="Нет"),0,1))</f>
        <v/>
      </c>
      <c r="U47" s="9">
        <f>IF(L47=1,"Исключено: дубль",IF(M47=1,"Исключено: нет объекта",IF(N47=1,"Исключено: валюта",IF(O47=1,"Исключено: возврат/статус",IF(S47=1,"На проверке","OK")))))</f>
        <v/>
      </c>
      <c r="V47" s="25">
        <f>SUMIFS(commission_rules!$D$2:$D$21,commission_rules!$A$2:$A$21,B47,commission_rules!$B$2:$B$21,"&lt;="&amp;C47,commission_rules!$C$2:$C$21,"&gt;="&amp;C47)</f>
        <v/>
      </c>
      <c r="W47" s="10">
        <f>F47-I47</f>
        <v/>
      </c>
      <c r="X47" s="10">
        <f>IF(F47=0,0,H47*W47/F47)</f>
        <v/>
      </c>
      <c r="Y47" s="10">
        <f>V47*W47</f>
        <v/>
      </c>
      <c r="Z47" s="10">
        <f>W47-X47</f>
        <v/>
      </c>
      <c r="AA47" s="10">
        <f>SUMIFS(calc_payments!$N$2:$N$77,calc_payments!$B$2:$B$77,A47)</f>
        <v/>
      </c>
      <c r="AB47" s="10">
        <f>AA47-Z47</f>
        <v/>
      </c>
      <c r="AC47" s="9">
        <f>IF(T47=0,"",IF(AA47=0,IF(Z47=0,"нечего получать","нет платежа"),IF(ABS(AB47)&lt;1,"сходится","расхождение")))</f>
        <v/>
      </c>
      <c r="AD47" s="9">
        <f>MAX(0,MIN(D47,Dashboard!$C$6+1)-MAX(C47,Dashboard!$C$5))</f>
        <v/>
      </c>
      <c r="AE47" s="26">
        <f>IF(K47=0,0,AD47/K47)*T47</f>
        <v/>
      </c>
      <c r="AF47" s="10">
        <f>F47*AE47</f>
        <v/>
      </c>
      <c r="AG47" s="10">
        <f>I47*AE47</f>
        <v/>
      </c>
      <c r="AH47" s="10">
        <f>W47*AE47</f>
        <v/>
      </c>
      <c r="AI47" s="10">
        <f>X47*AE47</f>
        <v/>
      </c>
      <c r="AJ47" s="10">
        <f>Y47*AE47</f>
        <v/>
      </c>
      <c r="AK47" s="9">
        <f>IF(AND(T47=1,AD47&gt;0),1,0)</f>
        <v/>
      </c>
      <c r="AL47" s="10">
        <f>Z47*AK47</f>
        <v/>
      </c>
      <c r="AM47" s="10">
        <f>AA47*AK47</f>
        <v/>
      </c>
      <c r="AN47" s="9">
        <f>AD47*T47</f>
        <v/>
      </c>
      <c r="AO47" s="9">
        <f>S47*AK47</f>
        <v/>
      </c>
    </row>
    <row r="48">
      <c r="A48" s="9">
        <f>raw_reservations!A48</f>
        <v/>
      </c>
      <c r="B48" s="9">
        <f>raw_reservations!B48</f>
        <v/>
      </c>
      <c r="C48" s="24">
        <f>raw_reservations!C48</f>
        <v/>
      </c>
      <c r="D48" s="24">
        <f>raw_reservations!D48</f>
        <v/>
      </c>
      <c r="E48" s="9">
        <f>raw_reservations!E48</f>
        <v/>
      </c>
      <c r="F48" s="10">
        <f>raw_reservations!F48</f>
        <v/>
      </c>
      <c r="G48" s="9">
        <f>raw_reservations!G48</f>
        <v/>
      </c>
      <c r="H48" s="10">
        <f>raw_reservations!H48</f>
        <v/>
      </c>
      <c r="I48" s="10">
        <f>raw_reservations!I48</f>
        <v/>
      </c>
      <c r="J48" s="9">
        <f>raw_reservations!J48</f>
        <v/>
      </c>
      <c r="K48" s="9">
        <f>D48-C48</f>
        <v/>
      </c>
      <c r="L48" s="9">
        <f>IF(COUNTIF(A$2:A48,A48)&gt;1,1,0)</f>
        <v/>
      </c>
      <c r="M48" s="9">
        <f>IF(COUNTIF(properties!$A$2:$A$21,B48)=0,1,0)</f>
        <v/>
      </c>
      <c r="N48" s="9">
        <f>IF(M48=1,0,IF(G48&lt;&gt;INDEX(properties!$E$2:$E$21,MATCH(B48,properties!$A$2:$A$21,0)),1,0))</f>
        <v/>
      </c>
      <c r="O48" s="9">
        <f>IF(OR(I48&gt;F48,AND(E48&lt;&gt;"cancelled",I48&gt;0)),1,0)</f>
        <v/>
      </c>
      <c r="P48" s="9">
        <f>IF(H48&lt;0,1,0)</f>
        <v/>
      </c>
      <c r="Q48" s="9">
        <f>IF(L48+M48+N48+O48=0,1,0)</f>
        <v/>
      </c>
      <c r="R48" s="9">
        <f>IF(AND(Q48=1,E48&lt;&gt;"cancelled"),COUNTIFS($B$2:$B$152,B48,$Q$2:$Q$152,1,$E$2:$E$152,"&lt;&gt;cancelled",$C$2:$C$152,"&lt;"&amp;D48,$D$2:$D$152,"&gt;"&amp;C48)-1,0)</f>
        <v/>
      </c>
      <c r="S48" s="9">
        <f>IF(AND(Q48=1,OR(R48&gt;0,P48=1)),1,0)</f>
        <v/>
      </c>
      <c r="T48" s="9">
        <f>IF(Q48=0,0,IF(AND(S48=1,Dashboard!$C$7="Нет"),0,1))</f>
        <v/>
      </c>
      <c r="U48" s="9">
        <f>IF(L48=1,"Исключено: дубль",IF(M48=1,"Исключено: нет объекта",IF(N48=1,"Исключено: валюта",IF(O48=1,"Исключено: возврат/статус",IF(S48=1,"На проверке","OK")))))</f>
        <v/>
      </c>
      <c r="V48" s="25">
        <f>SUMIFS(commission_rules!$D$2:$D$21,commission_rules!$A$2:$A$21,B48,commission_rules!$B$2:$B$21,"&lt;="&amp;C48,commission_rules!$C$2:$C$21,"&gt;="&amp;C48)</f>
        <v/>
      </c>
      <c r="W48" s="10">
        <f>F48-I48</f>
        <v/>
      </c>
      <c r="X48" s="10">
        <f>IF(F48=0,0,H48*W48/F48)</f>
        <v/>
      </c>
      <c r="Y48" s="10">
        <f>V48*W48</f>
        <v/>
      </c>
      <c r="Z48" s="10">
        <f>W48-X48</f>
        <v/>
      </c>
      <c r="AA48" s="10">
        <f>SUMIFS(calc_payments!$N$2:$N$77,calc_payments!$B$2:$B$77,A48)</f>
        <v/>
      </c>
      <c r="AB48" s="10">
        <f>AA48-Z48</f>
        <v/>
      </c>
      <c r="AC48" s="9">
        <f>IF(T48=0,"",IF(AA48=0,IF(Z48=0,"нечего получать","нет платежа"),IF(ABS(AB48)&lt;1,"сходится","расхождение")))</f>
        <v/>
      </c>
      <c r="AD48" s="9">
        <f>MAX(0,MIN(D48,Dashboard!$C$6+1)-MAX(C48,Dashboard!$C$5))</f>
        <v/>
      </c>
      <c r="AE48" s="26">
        <f>IF(K48=0,0,AD48/K48)*T48</f>
        <v/>
      </c>
      <c r="AF48" s="10">
        <f>F48*AE48</f>
        <v/>
      </c>
      <c r="AG48" s="10">
        <f>I48*AE48</f>
        <v/>
      </c>
      <c r="AH48" s="10">
        <f>W48*AE48</f>
        <v/>
      </c>
      <c r="AI48" s="10">
        <f>X48*AE48</f>
        <v/>
      </c>
      <c r="AJ48" s="10">
        <f>Y48*AE48</f>
        <v/>
      </c>
      <c r="AK48" s="9">
        <f>IF(AND(T48=1,AD48&gt;0),1,0)</f>
        <v/>
      </c>
      <c r="AL48" s="10">
        <f>Z48*AK48</f>
        <v/>
      </c>
      <c r="AM48" s="10">
        <f>AA48*AK48</f>
        <v/>
      </c>
      <c r="AN48" s="9">
        <f>AD48*T48</f>
        <v/>
      </c>
      <c r="AO48" s="9">
        <f>S48*AK48</f>
        <v/>
      </c>
    </row>
    <row r="49">
      <c r="A49" s="9">
        <f>raw_reservations!A49</f>
        <v/>
      </c>
      <c r="B49" s="9">
        <f>raw_reservations!B49</f>
        <v/>
      </c>
      <c r="C49" s="24">
        <f>raw_reservations!C49</f>
        <v/>
      </c>
      <c r="D49" s="24">
        <f>raw_reservations!D49</f>
        <v/>
      </c>
      <c r="E49" s="9">
        <f>raw_reservations!E49</f>
        <v/>
      </c>
      <c r="F49" s="10">
        <f>raw_reservations!F49</f>
        <v/>
      </c>
      <c r="G49" s="9">
        <f>raw_reservations!G49</f>
        <v/>
      </c>
      <c r="H49" s="10">
        <f>raw_reservations!H49</f>
        <v/>
      </c>
      <c r="I49" s="10">
        <f>raw_reservations!I49</f>
        <v/>
      </c>
      <c r="J49" s="9">
        <f>raw_reservations!J49</f>
        <v/>
      </c>
      <c r="K49" s="9">
        <f>D49-C49</f>
        <v/>
      </c>
      <c r="L49" s="9">
        <f>IF(COUNTIF(A$2:A49,A49)&gt;1,1,0)</f>
        <v/>
      </c>
      <c r="M49" s="9">
        <f>IF(COUNTIF(properties!$A$2:$A$21,B49)=0,1,0)</f>
        <v/>
      </c>
      <c r="N49" s="9">
        <f>IF(M49=1,0,IF(G49&lt;&gt;INDEX(properties!$E$2:$E$21,MATCH(B49,properties!$A$2:$A$21,0)),1,0))</f>
        <v/>
      </c>
      <c r="O49" s="9">
        <f>IF(OR(I49&gt;F49,AND(E49&lt;&gt;"cancelled",I49&gt;0)),1,0)</f>
        <v/>
      </c>
      <c r="P49" s="9">
        <f>IF(H49&lt;0,1,0)</f>
        <v/>
      </c>
      <c r="Q49" s="9">
        <f>IF(L49+M49+N49+O49=0,1,0)</f>
        <v/>
      </c>
      <c r="R49" s="9">
        <f>IF(AND(Q49=1,E49&lt;&gt;"cancelled"),COUNTIFS($B$2:$B$152,B49,$Q$2:$Q$152,1,$E$2:$E$152,"&lt;&gt;cancelled",$C$2:$C$152,"&lt;"&amp;D49,$D$2:$D$152,"&gt;"&amp;C49)-1,0)</f>
        <v/>
      </c>
      <c r="S49" s="9">
        <f>IF(AND(Q49=1,OR(R49&gt;0,P49=1)),1,0)</f>
        <v/>
      </c>
      <c r="T49" s="9">
        <f>IF(Q49=0,0,IF(AND(S49=1,Dashboard!$C$7="Нет"),0,1))</f>
        <v/>
      </c>
      <c r="U49" s="9">
        <f>IF(L49=1,"Исключено: дубль",IF(M49=1,"Исключено: нет объекта",IF(N49=1,"Исключено: валюта",IF(O49=1,"Исключено: возврат/статус",IF(S49=1,"На проверке","OK")))))</f>
        <v/>
      </c>
      <c r="V49" s="25">
        <f>SUMIFS(commission_rules!$D$2:$D$21,commission_rules!$A$2:$A$21,B49,commission_rules!$B$2:$B$21,"&lt;="&amp;C49,commission_rules!$C$2:$C$21,"&gt;="&amp;C49)</f>
        <v/>
      </c>
      <c r="W49" s="10">
        <f>F49-I49</f>
        <v/>
      </c>
      <c r="X49" s="10">
        <f>IF(F49=0,0,H49*W49/F49)</f>
        <v/>
      </c>
      <c r="Y49" s="10">
        <f>V49*W49</f>
        <v/>
      </c>
      <c r="Z49" s="10">
        <f>W49-X49</f>
        <v/>
      </c>
      <c r="AA49" s="10">
        <f>SUMIFS(calc_payments!$N$2:$N$77,calc_payments!$B$2:$B$77,A49)</f>
        <v/>
      </c>
      <c r="AB49" s="10">
        <f>AA49-Z49</f>
        <v/>
      </c>
      <c r="AC49" s="9">
        <f>IF(T49=0,"",IF(AA49=0,IF(Z49=0,"нечего получать","нет платежа"),IF(ABS(AB49)&lt;1,"сходится","расхождение")))</f>
        <v/>
      </c>
      <c r="AD49" s="9">
        <f>MAX(0,MIN(D49,Dashboard!$C$6+1)-MAX(C49,Dashboard!$C$5))</f>
        <v/>
      </c>
      <c r="AE49" s="26">
        <f>IF(K49=0,0,AD49/K49)*T49</f>
        <v/>
      </c>
      <c r="AF49" s="10">
        <f>F49*AE49</f>
        <v/>
      </c>
      <c r="AG49" s="10">
        <f>I49*AE49</f>
        <v/>
      </c>
      <c r="AH49" s="10">
        <f>W49*AE49</f>
        <v/>
      </c>
      <c r="AI49" s="10">
        <f>X49*AE49</f>
        <v/>
      </c>
      <c r="AJ49" s="10">
        <f>Y49*AE49</f>
        <v/>
      </c>
      <c r="AK49" s="9">
        <f>IF(AND(T49=1,AD49&gt;0),1,0)</f>
        <v/>
      </c>
      <c r="AL49" s="10">
        <f>Z49*AK49</f>
        <v/>
      </c>
      <c r="AM49" s="10">
        <f>AA49*AK49</f>
        <v/>
      </c>
      <c r="AN49" s="9">
        <f>AD49*T49</f>
        <v/>
      </c>
      <c r="AO49" s="9">
        <f>S49*AK49</f>
        <v/>
      </c>
    </row>
    <row r="50">
      <c r="A50" s="9">
        <f>raw_reservations!A50</f>
        <v/>
      </c>
      <c r="B50" s="9">
        <f>raw_reservations!B50</f>
        <v/>
      </c>
      <c r="C50" s="24">
        <f>raw_reservations!C50</f>
        <v/>
      </c>
      <c r="D50" s="24">
        <f>raw_reservations!D50</f>
        <v/>
      </c>
      <c r="E50" s="9">
        <f>raw_reservations!E50</f>
        <v/>
      </c>
      <c r="F50" s="10">
        <f>raw_reservations!F50</f>
        <v/>
      </c>
      <c r="G50" s="9">
        <f>raw_reservations!G50</f>
        <v/>
      </c>
      <c r="H50" s="10">
        <f>raw_reservations!H50</f>
        <v/>
      </c>
      <c r="I50" s="10">
        <f>raw_reservations!I50</f>
        <v/>
      </c>
      <c r="J50" s="9">
        <f>raw_reservations!J50</f>
        <v/>
      </c>
      <c r="K50" s="9">
        <f>D50-C50</f>
        <v/>
      </c>
      <c r="L50" s="9">
        <f>IF(COUNTIF(A$2:A50,A50)&gt;1,1,0)</f>
        <v/>
      </c>
      <c r="M50" s="9">
        <f>IF(COUNTIF(properties!$A$2:$A$21,B50)=0,1,0)</f>
        <v/>
      </c>
      <c r="N50" s="9">
        <f>IF(M50=1,0,IF(G50&lt;&gt;INDEX(properties!$E$2:$E$21,MATCH(B50,properties!$A$2:$A$21,0)),1,0))</f>
        <v/>
      </c>
      <c r="O50" s="9">
        <f>IF(OR(I50&gt;F50,AND(E50&lt;&gt;"cancelled",I50&gt;0)),1,0)</f>
        <v/>
      </c>
      <c r="P50" s="9">
        <f>IF(H50&lt;0,1,0)</f>
        <v/>
      </c>
      <c r="Q50" s="9">
        <f>IF(L50+M50+N50+O50=0,1,0)</f>
        <v/>
      </c>
      <c r="R50" s="9">
        <f>IF(AND(Q50=1,E50&lt;&gt;"cancelled"),COUNTIFS($B$2:$B$152,B50,$Q$2:$Q$152,1,$E$2:$E$152,"&lt;&gt;cancelled",$C$2:$C$152,"&lt;"&amp;D50,$D$2:$D$152,"&gt;"&amp;C50)-1,0)</f>
        <v/>
      </c>
      <c r="S50" s="9">
        <f>IF(AND(Q50=1,OR(R50&gt;0,P50=1)),1,0)</f>
        <v/>
      </c>
      <c r="T50" s="9">
        <f>IF(Q50=0,0,IF(AND(S50=1,Dashboard!$C$7="Нет"),0,1))</f>
        <v/>
      </c>
      <c r="U50" s="9">
        <f>IF(L50=1,"Исключено: дубль",IF(M50=1,"Исключено: нет объекта",IF(N50=1,"Исключено: валюта",IF(O50=1,"Исключено: возврат/статус",IF(S50=1,"На проверке","OK")))))</f>
        <v/>
      </c>
      <c r="V50" s="25">
        <f>SUMIFS(commission_rules!$D$2:$D$21,commission_rules!$A$2:$A$21,B50,commission_rules!$B$2:$B$21,"&lt;="&amp;C50,commission_rules!$C$2:$C$21,"&gt;="&amp;C50)</f>
        <v/>
      </c>
      <c r="W50" s="10">
        <f>F50-I50</f>
        <v/>
      </c>
      <c r="X50" s="10">
        <f>IF(F50=0,0,H50*W50/F50)</f>
        <v/>
      </c>
      <c r="Y50" s="10">
        <f>V50*W50</f>
        <v/>
      </c>
      <c r="Z50" s="10">
        <f>W50-X50</f>
        <v/>
      </c>
      <c r="AA50" s="10">
        <f>SUMIFS(calc_payments!$N$2:$N$77,calc_payments!$B$2:$B$77,A50)</f>
        <v/>
      </c>
      <c r="AB50" s="10">
        <f>AA50-Z50</f>
        <v/>
      </c>
      <c r="AC50" s="9">
        <f>IF(T50=0,"",IF(AA50=0,IF(Z50=0,"нечего получать","нет платежа"),IF(ABS(AB50)&lt;1,"сходится","расхождение")))</f>
        <v/>
      </c>
      <c r="AD50" s="9">
        <f>MAX(0,MIN(D50,Dashboard!$C$6+1)-MAX(C50,Dashboard!$C$5))</f>
        <v/>
      </c>
      <c r="AE50" s="26">
        <f>IF(K50=0,0,AD50/K50)*T50</f>
        <v/>
      </c>
      <c r="AF50" s="10">
        <f>F50*AE50</f>
        <v/>
      </c>
      <c r="AG50" s="10">
        <f>I50*AE50</f>
        <v/>
      </c>
      <c r="AH50" s="10">
        <f>W50*AE50</f>
        <v/>
      </c>
      <c r="AI50" s="10">
        <f>X50*AE50</f>
        <v/>
      </c>
      <c r="AJ50" s="10">
        <f>Y50*AE50</f>
        <v/>
      </c>
      <c r="AK50" s="9">
        <f>IF(AND(T50=1,AD50&gt;0),1,0)</f>
        <v/>
      </c>
      <c r="AL50" s="10">
        <f>Z50*AK50</f>
        <v/>
      </c>
      <c r="AM50" s="10">
        <f>AA50*AK50</f>
        <v/>
      </c>
      <c r="AN50" s="9">
        <f>AD50*T50</f>
        <v/>
      </c>
      <c r="AO50" s="9">
        <f>S50*AK50</f>
        <v/>
      </c>
    </row>
    <row r="51">
      <c r="A51" s="9">
        <f>raw_reservations!A51</f>
        <v/>
      </c>
      <c r="B51" s="9">
        <f>raw_reservations!B51</f>
        <v/>
      </c>
      <c r="C51" s="24">
        <f>raw_reservations!C51</f>
        <v/>
      </c>
      <c r="D51" s="24">
        <f>raw_reservations!D51</f>
        <v/>
      </c>
      <c r="E51" s="9">
        <f>raw_reservations!E51</f>
        <v/>
      </c>
      <c r="F51" s="10">
        <f>raw_reservations!F51</f>
        <v/>
      </c>
      <c r="G51" s="9">
        <f>raw_reservations!G51</f>
        <v/>
      </c>
      <c r="H51" s="10">
        <f>raw_reservations!H51</f>
        <v/>
      </c>
      <c r="I51" s="10">
        <f>raw_reservations!I51</f>
        <v/>
      </c>
      <c r="J51" s="9">
        <f>raw_reservations!J51</f>
        <v/>
      </c>
      <c r="K51" s="9">
        <f>D51-C51</f>
        <v/>
      </c>
      <c r="L51" s="9">
        <f>IF(COUNTIF(A$2:A51,A51)&gt;1,1,0)</f>
        <v/>
      </c>
      <c r="M51" s="9">
        <f>IF(COUNTIF(properties!$A$2:$A$21,B51)=0,1,0)</f>
        <v/>
      </c>
      <c r="N51" s="9">
        <f>IF(M51=1,0,IF(G51&lt;&gt;INDEX(properties!$E$2:$E$21,MATCH(B51,properties!$A$2:$A$21,0)),1,0))</f>
        <v/>
      </c>
      <c r="O51" s="9">
        <f>IF(OR(I51&gt;F51,AND(E51&lt;&gt;"cancelled",I51&gt;0)),1,0)</f>
        <v/>
      </c>
      <c r="P51" s="9">
        <f>IF(H51&lt;0,1,0)</f>
        <v/>
      </c>
      <c r="Q51" s="9">
        <f>IF(L51+M51+N51+O51=0,1,0)</f>
        <v/>
      </c>
      <c r="R51" s="9">
        <f>IF(AND(Q51=1,E51&lt;&gt;"cancelled"),COUNTIFS($B$2:$B$152,B51,$Q$2:$Q$152,1,$E$2:$E$152,"&lt;&gt;cancelled",$C$2:$C$152,"&lt;"&amp;D51,$D$2:$D$152,"&gt;"&amp;C51)-1,0)</f>
        <v/>
      </c>
      <c r="S51" s="9">
        <f>IF(AND(Q51=1,OR(R51&gt;0,P51=1)),1,0)</f>
        <v/>
      </c>
      <c r="T51" s="9">
        <f>IF(Q51=0,0,IF(AND(S51=1,Dashboard!$C$7="Нет"),0,1))</f>
        <v/>
      </c>
      <c r="U51" s="9">
        <f>IF(L51=1,"Исключено: дубль",IF(M51=1,"Исключено: нет объекта",IF(N51=1,"Исключено: валюта",IF(O51=1,"Исключено: возврат/статус",IF(S51=1,"На проверке","OK")))))</f>
        <v/>
      </c>
      <c r="V51" s="25">
        <f>SUMIFS(commission_rules!$D$2:$D$21,commission_rules!$A$2:$A$21,B51,commission_rules!$B$2:$B$21,"&lt;="&amp;C51,commission_rules!$C$2:$C$21,"&gt;="&amp;C51)</f>
        <v/>
      </c>
      <c r="W51" s="10">
        <f>F51-I51</f>
        <v/>
      </c>
      <c r="X51" s="10">
        <f>IF(F51=0,0,H51*W51/F51)</f>
        <v/>
      </c>
      <c r="Y51" s="10">
        <f>V51*W51</f>
        <v/>
      </c>
      <c r="Z51" s="10">
        <f>W51-X51</f>
        <v/>
      </c>
      <c r="AA51" s="10">
        <f>SUMIFS(calc_payments!$N$2:$N$77,calc_payments!$B$2:$B$77,A51)</f>
        <v/>
      </c>
      <c r="AB51" s="10">
        <f>AA51-Z51</f>
        <v/>
      </c>
      <c r="AC51" s="9">
        <f>IF(T51=0,"",IF(AA51=0,IF(Z51=0,"нечего получать","нет платежа"),IF(ABS(AB51)&lt;1,"сходится","расхождение")))</f>
        <v/>
      </c>
      <c r="AD51" s="9">
        <f>MAX(0,MIN(D51,Dashboard!$C$6+1)-MAX(C51,Dashboard!$C$5))</f>
        <v/>
      </c>
      <c r="AE51" s="26">
        <f>IF(K51=0,0,AD51/K51)*T51</f>
        <v/>
      </c>
      <c r="AF51" s="10">
        <f>F51*AE51</f>
        <v/>
      </c>
      <c r="AG51" s="10">
        <f>I51*AE51</f>
        <v/>
      </c>
      <c r="AH51" s="10">
        <f>W51*AE51</f>
        <v/>
      </c>
      <c r="AI51" s="10">
        <f>X51*AE51</f>
        <v/>
      </c>
      <c r="AJ51" s="10">
        <f>Y51*AE51</f>
        <v/>
      </c>
      <c r="AK51" s="9">
        <f>IF(AND(T51=1,AD51&gt;0),1,0)</f>
        <v/>
      </c>
      <c r="AL51" s="10">
        <f>Z51*AK51</f>
        <v/>
      </c>
      <c r="AM51" s="10">
        <f>AA51*AK51</f>
        <v/>
      </c>
      <c r="AN51" s="9">
        <f>AD51*T51</f>
        <v/>
      </c>
      <c r="AO51" s="9">
        <f>S51*AK51</f>
        <v/>
      </c>
    </row>
    <row r="52">
      <c r="A52" s="9">
        <f>raw_reservations!A52</f>
        <v/>
      </c>
      <c r="B52" s="9">
        <f>raw_reservations!B52</f>
        <v/>
      </c>
      <c r="C52" s="24">
        <f>raw_reservations!C52</f>
        <v/>
      </c>
      <c r="D52" s="24">
        <f>raw_reservations!D52</f>
        <v/>
      </c>
      <c r="E52" s="9">
        <f>raw_reservations!E52</f>
        <v/>
      </c>
      <c r="F52" s="10">
        <f>raw_reservations!F52</f>
        <v/>
      </c>
      <c r="G52" s="9">
        <f>raw_reservations!G52</f>
        <v/>
      </c>
      <c r="H52" s="10">
        <f>raw_reservations!H52</f>
        <v/>
      </c>
      <c r="I52" s="10">
        <f>raw_reservations!I52</f>
        <v/>
      </c>
      <c r="J52" s="9">
        <f>raw_reservations!J52</f>
        <v/>
      </c>
      <c r="K52" s="9">
        <f>D52-C52</f>
        <v/>
      </c>
      <c r="L52" s="9">
        <f>IF(COUNTIF(A$2:A52,A52)&gt;1,1,0)</f>
        <v/>
      </c>
      <c r="M52" s="9">
        <f>IF(COUNTIF(properties!$A$2:$A$21,B52)=0,1,0)</f>
        <v/>
      </c>
      <c r="N52" s="9">
        <f>IF(M52=1,0,IF(G52&lt;&gt;INDEX(properties!$E$2:$E$21,MATCH(B52,properties!$A$2:$A$21,0)),1,0))</f>
        <v/>
      </c>
      <c r="O52" s="9">
        <f>IF(OR(I52&gt;F52,AND(E52&lt;&gt;"cancelled",I52&gt;0)),1,0)</f>
        <v/>
      </c>
      <c r="P52" s="9">
        <f>IF(H52&lt;0,1,0)</f>
        <v/>
      </c>
      <c r="Q52" s="9">
        <f>IF(L52+M52+N52+O52=0,1,0)</f>
        <v/>
      </c>
      <c r="R52" s="9">
        <f>IF(AND(Q52=1,E52&lt;&gt;"cancelled"),COUNTIFS($B$2:$B$152,B52,$Q$2:$Q$152,1,$E$2:$E$152,"&lt;&gt;cancelled",$C$2:$C$152,"&lt;"&amp;D52,$D$2:$D$152,"&gt;"&amp;C52)-1,0)</f>
        <v/>
      </c>
      <c r="S52" s="9">
        <f>IF(AND(Q52=1,OR(R52&gt;0,P52=1)),1,0)</f>
        <v/>
      </c>
      <c r="T52" s="9">
        <f>IF(Q52=0,0,IF(AND(S52=1,Dashboard!$C$7="Нет"),0,1))</f>
        <v/>
      </c>
      <c r="U52" s="9">
        <f>IF(L52=1,"Исключено: дубль",IF(M52=1,"Исключено: нет объекта",IF(N52=1,"Исключено: валюта",IF(O52=1,"Исключено: возврат/статус",IF(S52=1,"На проверке","OK")))))</f>
        <v/>
      </c>
      <c r="V52" s="25">
        <f>SUMIFS(commission_rules!$D$2:$D$21,commission_rules!$A$2:$A$21,B52,commission_rules!$B$2:$B$21,"&lt;="&amp;C52,commission_rules!$C$2:$C$21,"&gt;="&amp;C52)</f>
        <v/>
      </c>
      <c r="W52" s="10">
        <f>F52-I52</f>
        <v/>
      </c>
      <c r="X52" s="10">
        <f>IF(F52=0,0,H52*W52/F52)</f>
        <v/>
      </c>
      <c r="Y52" s="10">
        <f>V52*W52</f>
        <v/>
      </c>
      <c r="Z52" s="10">
        <f>W52-X52</f>
        <v/>
      </c>
      <c r="AA52" s="10">
        <f>SUMIFS(calc_payments!$N$2:$N$77,calc_payments!$B$2:$B$77,A52)</f>
        <v/>
      </c>
      <c r="AB52" s="10">
        <f>AA52-Z52</f>
        <v/>
      </c>
      <c r="AC52" s="9">
        <f>IF(T52=0,"",IF(AA52=0,IF(Z52=0,"нечего получать","нет платежа"),IF(ABS(AB52)&lt;1,"сходится","расхождение")))</f>
        <v/>
      </c>
      <c r="AD52" s="9">
        <f>MAX(0,MIN(D52,Dashboard!$C$6+1)-MAX(C52,Dashboard!$C$5))</f>
        <v/>
      </c>
      <c r="AE52" s="26">
        <f>IF(K52=0,0,AD52/K52)*T52</f>
        <v/>
      </c>
      <c r="AF52" s="10">
        <f>F52*AE52</f>
        <v/>
      </c>
      <c r="AG52" s="10">
        <f>I52*AE52</f>
        <v/>
      </c>
      <c r="AH52" s="10">
        <f>W52*AE52</f>
        <v/>
      </c>
      <c r="AI52" s="10">
        <f>X52*AE52</f>
        <v/>
      </c>
      <c r="AJ52" s="10">
        <f>Y52*AE52</f>
        <v/>
      </c>
      <c r="AK52" s="9">
        <f>IF(AND(T52=1,AD52&gt;0),1,0)</f>
        <v/>
      </c>
      <c r="AL52" s="10">
        <f>Z52*AK52</f>
        <v/>
      </c>
      <c r="AM52" s="10">
        <f>AA52*AK52</f>
        <v/>
      </c>
      <c r="AN52" s="9">
        <f>AD52*T52</f>
        <v/>
      </c>
      <c r="AO52" s="9">
        <f>S52*AK52</f>
        <v/>
      </c>
    </row>
    <row r="53">
      <c r="A53" s="9">
        <f>raw_reservations!A53</f>
        <v/>
      </c>
      <c r="B53" s="9">
        <f>raw_reservations!B53</f>
        <v/>
      </c>
      <c r="C53" s="24">
        <f>raw_reservations!C53</f>
        <v/>
      </c>
      <c r="D53" s="24">
        <f>raw_reservations!D53</f>
        <v/>
      </c>
      <c r="E53" s="9">
        <f>raw_reservations!E53</f>
        <v/>
      </c>
      <c r="F53" s="10">
        <f>raw_reservations!F53</f>
        <v/>
      </c>
      <c r="G53" s="9">
        <f>raw_reservations!G53</f>
        <v/>
      </c>
      <c r="H53" s="10">
        <f>raw_reservations!H53</f>
        <v/>
      </c>
      <c r="I53" s="10">
        <f>raw_reservations!I53</f>
        <v/>
      </c>
      <c r="J53" s="9">
        <f>raw_reservations!J53</f>
        <v/>
      </c>
      <c r="K53" s="9">
        <f>D53-C53</f>
        <v/>
      </c>
      <c r="L53" s="9">
        <f>IF(COUNTIF(A$2:A53,A53)&gt;1,1,0)</f>
        <v/>
      </c>
      <c r="M53" s="9">
        <f>IF(COUNTIF(properties!$A$2:$A$21,B53)=0,1,0)</f>
        <v/>
      </c>
      <c r="N53" s="9">
        <f>IF(M53=1,0,IF(G53&lt;&gt;INDEX(properties!$E$2:$E$21,MATCH(B53,properties!$A$2:$A$21,0)),1,0))</f>
        <v/>
      </c>
      <c r="O53" s="9">
        <f>IF(OR(I53&gt;F53,AND(E53&lt;&gt;"cancelled",I53&gt;0)),1,0)</f>
        <v/>
      </c>
      <c r="P53" s="9">
        <f>IF(H53&lt;0,1,0)</f>
        <v/>
      </c>
      <c r="Q53" s="9">
        <f>IF(L53+M53+N53+O53=0,1,0)</f>
        <v/>
      </c>
      <c r="R53" s="9">
        <f>IF(AND(Q53=1,E53&lt;&gt;"cancelled"),COUNTIFS($B$2:$B$152,B53,$Q$2:$Q$152,1,$E$2:$E$152,"&lt;&gt;cancelled",$C$2:$C$152,"&lt;"&amp;D53,$D$2:$D$152,"&gt;"&amp;C53)-1,0)</f>
        <v/>
      </c>
      <c r="S53" s="9">
        <f>IF(AND(Q53=1,OR(R53&gt;0,P53=1)),1,0)</f>
        <v/>
      </c>
      <c r="T53" s="9">
        <f>IF(Q53=0,0,IF(AND(S53=1,Dashboard!$C$7="Нет"),0,1))</f>
        <v/>
      </c>
      <c r="U53" s="9">
        <f>IF(L53=1,"Исключено: дубль",IF(M53=1,"Исключено: нет объекта",IF(N53=1,"Исключено: валюта",IF(O53=1,"Исключено: возврат/статус",IF(S53=1,"На проверке","OK")))))</f>
        <v/>
      </c>
      <c r="V53" s="25">
        <f>SUMIFS(commission_rules!$D$2:$D$21,commission_rules!$A$2:$A$21,B53,commission_rules!$B$2:$B$21,"&lt;="&amp;C53,commission_rules!$C$2:$C$21,"&gt;="&amp;C53)</f>
        <v/>
      </c>
      <c r="W53" s="10">
        <f>F53-I53</f>
        <v/>
      </c>
      <c r="X53" s="10">
        <f>IF(F53=0,0,H53*W53/F53)</f>
        <v/>
      </c>
      <c r="Y53" s="10">
        <f>V53*W53</f>
        <v/>
      </c>
      <c r="Z53" s="10">
        <f>W53-X53</f>
        <v/>
      </c>
      <c r="AA53" s="10">
        <f>SUMIFS(calc_payments!$N$2:$N$77,calc_payments!$B$2:$B$77,A53)</f>
        <v/>
      </c>
      <c r="AB53" s="10">
        <f>AA53-Z53</f>
        <v/>
      </c>
      <c r="AC53" s="9">
        <f>IF(T53=0,"",IF(AA53=0,IF(Z53=0,"нечего получать","нет платежа"),IF(ABS(AB53)&lt;1,"сходится","расхождение")))</f>
        <v/>
      </c>
      <c r="AD53" s="9">
        <f>MAX(0,MIN(D53,Dashboard!$C$6+1)-MAX(C53,Dashboard!$C$5))</f>
        <v/>
      </c>
      <c r="AE53" s="26">
        <f>IF(K53=0,0,AD53/K53)*T53</f>
        <v/>
      </c>
      <c r="AF53" s="10">
        <f>F53*AE53</f>
        <v/>
      </c>
      <c r="AG53" s="10">
        <f>I53*AE53</f>
        <v/>
      </c>
      <c r="AH53" s="10">
        <f>W53*AE53</f>
        <v/>
      </c>
      <c r="AI53" s="10">
        <f>X53*AE53</f>
        <v/>
      </c>
      <c r="AJ53" s="10">
        <f>Y53*AE53</f>
        <v/>
      </c>
      <c r="AK53" s="9">
        <f>IF(AND(T53=1,AD53&gt;0),1,0)</f>
        <v/>
      </c>
      <c r="AL53" s="10">
        <f>Z53*AK53</f>
        <v/>
      </c>
      <c r="AM53" s="10">
        <f>AA53*AK53</f>
        <v/>
      </c>
      <c r="AN53" s="9">
        <f>AD53*T53</f>
        <v/>
      </c>
      <c r="AO53" s="9">
        <f>S53*AK53</f>
        <v/>
      </c>
    </row>
    <row r="54">
      <c r="A54" s="9">
        <f>raw_reservations!A54</f>
        <v/>
      </c>
      <c r="B54" s="9">
        <f>raw_reservations!B54</f>
        <v/>
      </c>
      <c r="C54" s="24">
        <f>raw_reservations!C54</f>
        <v/>
      </c>
      <c r="D54" s="24">
        <f>raw_reservations!D54</f>
        <v/>
      </c>
      <c r="E54" s="9">
        <f>raw_reservations!E54</f>
        <v/>
      </c>
      <c r="F54" s="10">
        <f>raw_reservations!F54</f>
        <v/>
      </c>
      <c r="G54" s="9">
        <f>raw_reservations!G54</f>
        <v/>
      </c>
      <c r="H54" s="10">
        <f>raw_reservations!H54</f>
        <v/>
      </c>
      <c r="I54" s="10">
        <f>raw_reservations!I54</f>
        <v/>
      </c>
      <c r="J54" s="9">
        <f>raw_reservations!J54</f>
        <v/>
      </c>
      <c r="K54" s="9">
        <f>D54-C54</f>
        <v/>
      </c>
      <c r="L54" s="9">
        <f>IF(COUNTIF(A$2:A54,A54)&gt;1,1,0)</f>
        <v/>
      </c>
      <c r="M54" s="9">
        <f>IF(COUNTIF(properties!$A$2:$A$21,B54)=0,1,0)</f>
        <v/>
      </c>
      <c r="N54" s="9">
        <f>IF(M54=1,0,IF(G54&lt;&gt;INDEX(properties!$E$2:$E$21,MATCH(B54,properties!$A$2:$A$21,0)),1,0))</f>
        <v/>
      </c>
      <c r="O54" s="9">
        <f>IF(OR(I54&gt;F54,AND(E54&lt;&gt;"cancelled",I54&gt;0)),1,0)</f>
        <v/>
      </c>
      <c r="P54" s="9">
        <f>IF(H54&lt;0,1,0)</f>
        <v/>
      </c>
      <c r="Q54" s="9">
        <f>IF(L54+M54+N54+O54=0,1,0)</f>
        <v/>
      </c>
      <c r="R54" s="9">
        <f>IF(AND(Q54=1,E54&lt;&gt;"cancelled"),COUNTIFS($B$2:$B$152,B54,$Q$2:$Q$152,1,$E$2:$E$152,"&lt;&gt;cancelled",$C$2:$C$152,"&lt;"&amp;D54,$D$2:$D$152,"&gt;"&amp;C54)-1,0)</f>
        <v/>
      </c>
      <c r="S54" s="9">
        <f>IF(AND(Q54=1,OR(R54&gt;0,P54=1)),1,0)</f>
        <v/>
      </c>
      <c r="T54" s="9">
        <f>IF(Q54=0,0,IF(AND(S54=1,Dashboard!$C$7="Нет"),0,1))</f>
        <v/>
      </c>
      <c r="U54" s="9">
        <f>IF(L54=1,"Исключено: дубль",IF(M54=1,"Исключено: нет объекта",IF(N54=1,"Исключено: валюта",IF(O54=1,"Исключено: возврат/статус",IF(S54=1,"На проверке","OK")))))</f>
        <v/>
      </c>
      <c r="V54" s="25">
        <f>SUMIFS(commission_rules!$D$2:$D$21,commission_rules!$A$2:$A$21,B54,commission_rules!$B$2:$B$21,"&lt;="&amp;C54,commission_rules!$C$2:$C$21,"&gt;="&amp;C54)</f>
        <v/>
      </c>
      <c r="W54" s="10">
        <f>F54-I54</f>
        <v/>
      </c>
      <c r="X54" s="10">
        <f>IF(F54=0,0,H54*W54/F54)</f>
        <v/>
      </c>
      <c r="Y54" s="10">
        <f>V54*W54</f>
        <v/>
      </c>
      <c r="Z54" s="10">
        <f>W54-X54</f>
        <v/>
      </c>
      <c r="AA54" s="10">
        <f>SUMIFS(calc_payments!$N$2:$N$77,calc_payments!$B$2:$B$77,A54)</f>
        <v/>
      </c>
      <c r="AB54" s="10">
        <f>AA54-Z54</f>
        <v/>
      </c>
      <c r="AC54" s="9">
        <f>IF(T54=0,"",IF(AA54=0,IF(Z54=0,"нечего получать","нет платежа"),IF(ABS(AB54)&lt;1,"сходится","расхождение")))</f>
        <v/>
      </c>
      <c r="AD54" s="9">
        <f>MAX(0,MIN(D54,Dashboard!$C$6+1)-MAX(C54,Dashboard!$C$5))</f>
        <v/>
      </c>
      <c r="AE54" s="26">
        <f>IF(K54=0,0,AD54/K54)*T54</f>
        <v/>
      </c>
      <c r="AF54" s="10">
        <f>F54*AE54</f>
        <v/>
      </c>
      <c r="AG54" s="10">
        <f>I54*AE54</f>
        <v/>
      </c>
      <c r="AH54" s="10">
        <f>W54*AE54</f>
        <v/>
      </c>
      <c r="AI54" s="10">
        <f>X54*AE54</f>
        <v/>
      </c>
      <c r="AJ54" s="10">
        <f>Y54*AE54</f>
        <v/>
      </c>
      <c r="AK54" s="9">
        <f>IF(AND(T54=1,AD54&gt;0),1,0)</f>
        <v/>
      </c>
      <c r="AL54" s="10">
        <f>Z54*AK54</f>
        <v/>
      </c>
      <c r="AM54" s="10">
        <f>AA54*AK54</f>
        <v/>
      </c>
      <c r="AN54" s="9">
        <f>AD54*T54</f>
        <v/>
      </c>
      <c r="AO54" s="9">
        <f>S54*AK54</f>
        <v/>
      </c>
    </row>
    <row r="55">
      <c r="A55" s="9">
        <f>raw_reservations!A55</f>
        <v/>
      </c>
      <c r="B55" s="9">
        <f>raw_reservations!B55</f>
        <v/>
      </c>
      <c r="C55" s="24">
        <f>raw_reservations!C55</f>
        <v/>
      </c>
      <c r="D55" s="24">
        <f>raw_reservations!D55</f>
        <v/>
      </c>
      <c r="E55" s="9">
        <f>raw_reservations!E55</f>
        <v/>
      </c>
      <c r="F55" s="10">
        <f>raw_reservations!F55</f>
        <v/>
      </c>
      <c r="G55" s="9">
        <f>raw_reservations!G55</f>
        <v/>
      </c>
      <c r="H55" s="10">
        <f>raw_reservations!H55</f>
        <v/>
      </c>
      <c r="I55" s="10">
        <f>raw_reservations!I55</f>
        <v/>
      </c>
      <c r="J55" s="9">
        <f>raw_reservations!J55</f>
        <v/>
      </c>
      <c r="K55" s="9">
        <f>D55-C55</f>
        <v/>
      </c>
      <c r="L55" s="9">
        <f>IF(COUNTIF(A$2:A55,A55)&gt;1,1,0)</f>
        <v/>
      </c>
      <c r="M55" s="9">
        <f>IF(COUNTIF(properties!$A$2:$A$21,B55)=0,1,0)</f>
        <v/>
      </c>
      <c r="N55" s="9">
        <f>IF(M55=1,0,IF(G55&lt;&gt;INDEX(properties!$E$2:$E$21,MATCH(B55,properties!$A$2:$A$21,0)),1,0))</f>
        <v/>
      </c>
      <c r="O55" s="9">
        <f>IF(OR(I55&gt;F55,AND(E55&lt;&gt;"cancelled",I55&gt;0)),1,0)</f>
        <v/>
      </c>
      <c r="P55" s="9">
        <f>IF(H55&lt;0,1,0)</f>
        <v/>
      </c>
      <c r="Q55" s="9">
        <f>IF(L55+M55+N55+O55=0,1,0)</f>
        <v/>
      </c>
      <c r="R55" s="9">
        <f>IF(AND(Q55=1,E55&lt;&gt;"cancelled"),COUNTIFS($B$2:$B$152,B55,$Q$2:$Q$152,1,$E$2:$E$152,"&lt;&gt;cancelled",$C$2:$C$152,"&lt;"&amp;D55,$D$2:$D$152,"&gt;"&amp;C55)-1,0)</f>
        <v/>
      </c>
      <c r="S55" s="9">
        <f>IF(AND(Q55=1,OR(R55&gt;0,P55=1)),1,0)</f>
        <v/>
      </c>
      <c r="T55" s="9">
        <f>IF(Q55=0,0,IF(AND(S55=1,Dashboard!$C$7="Нет"),0,1))</f>
        <v/>
      </c>
      <c r="U55" s="9">
        <f>IF(L55=1,"Исключено: дубль",IF(M55=1,"Исключено: нет объекта",IF(N55=1,"Исключено: валюта",IF(O55=1,"Исключено: возврат/статус",IF(S55=1,"На проверке","OK")))))</f>
        <v/>
      </c>
      <c r="V55" s="25">
        <f>SUMIFS(commission_rules!$D$2:$D$21,commission_rules!$A$2:$A$21,B55,commission_rules!$B$2:$B$21,"&lt;="&amp;C55,commission_rules!$C$2:$C$21,"&gt;="&amp;C55)</f>
        <v/>
      </c>
      <c r="W55" s="10">
        <f>F55-I55</f>
        <v/>
      </c>
      <c r="X55" s="10">
        <f>IF(F55=0,0,H55*W55/F55)</f>
        <v/>
      </c>
      <c r="Y55" s="10">
        <f>V55*W55</f>
        <v/>
      </c>
      <c r="Z55" s="10">
        <f>W55-X55</f>
        <v/>
      </c>
      <c r="AA55" s="10">
        <f>SUMIFS(calc_payments!$N$2:$N$77,calc_payments!$B$2:$B$77,A55)</f>
        <v/>
      </c>
      <c r="AB55" s="10">
        <f>AA55-Z55</f>
        <v/>
      </c>
      <c r="AC55" s="9">
        <f>IF(T55=0,"",IF(AA55=0,IF(Z55=0,"нечего получать","нет платежа"),IF(ABS(AB55)&lt;1,"сходится","расхождение")))</f>
        <v/>
      </c>
      <c r="AD55" s="9">
        <f>MAX(0,MIN(D55,Dashboard!$C$6+1)-MAX(C55,Dashboard!$C$5))</f>
        <v/>
      </c>
      <c r="AE55" s="26">
        <f>IF(K55=0,0,AD55/K55)*T55</f>
        <v/>
      </c>
      <c r="AF55" s="10">
        <f>F55*AE55</f>
        <v/>
      </c>
      <c r="AG55" s="10">
        <f>I55*AE55</f>
        <v/>
      </c>
      <c r="AH55" s="10">
        <f>W55*AE55</f>
        <v/>
      </c>
      <c r="AI55" s="10">
        <f>X55*AE55</f>
        <v/>
      </c>
      <c r="AJ55" s="10">
        <f>Y55*AE55</f>
        <v/>
      </c>
      <c r="AK55" s="9">
        <f>IF(AND(T55=1,AD55&gt;0),1,0)</f>
        <v/>
      </c>
      <c r="AL55" s="10">
        <f>Z55*AK55</f>
        <v/>
      </c>
      <c r="AM55" s="10">
        <f>AA55*AK55</f>
        <v/>
      </c>
      <c r="AN55" s="9">
        <f>AD55*T55</f>
        <v/>
      </c>
      <c r="AO55" s="9">
        <f>S55*AK55</f>
        <v/>
      </c>
    </row>
    <row r="56">
      <c r="A56" s="9">
        <f>raw_reservations!A56</f>
        <v/>
      </c>
      <c r="B56" s="9">
        <f>raw_reservations!B56</f>
        <v/>
      </c>
      <c r="C56" s="24">
        <f>raw_reservations!C56</f>
        <v/>
      </c>
      <c r="D56" s="24">
        <f>raw_reservations!D56</f>
        <v/>
      </c>
      <c r="E56" s="9">
        <f>raw_reservations!E56</f>
        <v/>
      </c>
      <c r="F56" s="10">
        <f>raw_reservations!F56</f>
        <v/>
      </c>
      <c r="G56" s="9">
        <f>raw_reservations!G56</f>
        <v/>
      </c>
      <c r="H56" s="10">
        <f>raw_reservations!H56</f>
        <v/>
      </c>
      <c r="I56" s="10">
        <f>raw_reservations!I56</f>
        <v/>
      </c>
      <c r="J56" s="9">
        <f>raw_reservations!J56</f>
        <v/>
      </c>
      <c r="K56" s="9">
        <f>D56-C56</f>
        <v/>
      </c>
      <c r="L56" s="9">
        <f>IF(COUNTIF(A$2:A56,A56)&gt;1,1,0)</f>
        <v/>
      </c>
      <c r="M56" s="9">
        <f>IF(COUNTIF(properties!$A$2:$A$21,B56)=0,1,0)</f>
        <v/>
      </c>
      <c r="N56" s="9">
        <f>IF(M56=1,0,IF(G56&lt;&gt;INDEX(properties!$E$2:$E$21,MATCH(B56,properties!$A$2:$A$21,0)),1,0))</f>
        <v/>
      </c>
      <c r="O56" s="9">
        <f>IF(OR(I56&gt;F56,AND(E56&lt;&gt;"cancelled",I56&gt;0)),1,0)</f>
        <v/>
      </c>
      <c r="P56" s="9">
        <f>IF(H56&lt;0,1,0)</f>
        <v/>
      </c>
      <c r="Q56" s="9">
        <f>IF(L56+M56+N56+O56=0,1,0)</f>
        <v/>
      </c>
      <c r="R56" s="9">
        <f>IF(AND(Q56=1,E56&lt;&gt;"cancelled"),COUNTIFS($B$2:$B$152,B56,$Q$2:$Q$152,1,$E$2:$E$152,"&lt;&gt;cancelled",$C$2:$C$152,"&lt;"&amp;D56,$D$2:$D$152,"&gt;"&amp;C56)-1,0)</f>
        <v/>
      </c>
      <c r="S56" s="9">
        <f>IF(AND(Q56=1,OR(R56&gt;0,P56=1)),1,0)</f>
        <v/>
      </c>
      <c r="T56" s="9">
        <f>IF(Q56=0,0,IF(AND(S56=1,Dashboard!$C$7="Нет"),0,1))</f>
        <v/>
      </c>
      <c r="U56" s="9">
        <f>IF(L56=1,"Исключено: дубль",IF(M56=1,"Исключено: нет объекта",IF(N56=1,"Исключено: валюта",IF(O56=1,"Исключено: возврат/статус",IF(S56=1,"На проверке","OK")))))</f>
        <v/>
      </c>
      <c r="V56" s="25">
        <f>SUMIFS(commission_rules!$D$2:$D$21,commission_rules!$A$2:$A$21,B56,commission_rules!$B$2:$B$21,"&lt;="&amp;C56,commission_rules!$C$2:$C$21,"&gt;="&amp;C56)</f>
        <v/>
      </c>
      <c r="W56" s="10">
        <f>F56-I56</f>
        <v/>
      </c>
      <c r="X56" s="10">
        <f>IF(F56=0,0,H56*W56/F56)</f>
        <v/>
      </c>
      <c r="Y56" s="10">
        <f>V56*W56</f>
        <v/>
      </c>
      <c r="Z56" s="10">
        <f>W56-X56</f>
        <v/>
      </c>
      <c r="AA56" s="10">
        <f>SUMIFS(calc_payments!$N$2:$N$77,calc_payments!$B$2:$B$77,A56)</f>
        <v/>
      </c>
      <c r="AB56" s="10">
        <f>AA56-Z56</f>
        <v/>
      </c>
      <c r="AC56" s="9">
        <f>IF(T56=0,"",IF(AA56=0,IF(Z56=0,"нечего получать","нет платежа"),IF(ABS(AB56)&lt;1,"сходится","расхождение")))</f>
        <v/>
      </c>
      <c r="AD56" s="9">
        <f>MAX(0,MIN(D56,Dashboard!$C$6+1)-MAX(C56,Dashboard!$C$5))</f>
        <v/>
      </c>
      <c r="AE56" s="26">
        <f>IF(K56=0,0,AD56/K56)*T56</f>
        <v/>
      </c>
      <c r="AF56" s="10">
        <f>F56*AE56</f>
        <v/>
      </c>
      <c r="AG56" s="10">
        <f>I56*AE56</f>
        <v/>
      </c>
      <c r="AH56" s="10">
        <f>W56*AE56</f>
        <v/>
      </c>
      <c r="AI56" s="10">
        <f>X56*AE56</f>
        <v/>
      </c>
      <c r="AJ56" s="10">
        <f>Y56*AE56</f>
        <v/>
      </c>
      <c r="AK56" s="9">
        <f>IF(AND(T56=1,AD56&gt;0),1,0)</f>
        <v/>
      </c>
      <c r="AL56" s="10">
        <f>Z56*AK56</f>
        <v/>
      </c>
      <c r="AM56" s="10">
        <f>AA56*AK56</f>
        <v/>
      </c>
      <c r="AN56" s="9">
        <f>AD56*T56</f>
        <v/>
      </c>
      <c r="AO56" s="9">
        <f>S56*AK56</f>
        <v/>
      </c>
    </row>
    <row r="57">
      <c r="A57" s="9">
        <f>raw_reservations!A57</f>
        <v/>
      </c>
      <c r="B57" s="9">
        <f>raw_reservations!B57</f>
        <v/>
      </c>
      <c r="C57" s="24">
        <f>raw_reservations!C57</f>
        <v/>
      </c>
      <c r="D57" s="24">
        <f>raw_reservations!D57</f>
        <v/>
      </c>
      <c r="E57" s="9">
        <f>raw_reservations!E57</f>
        <v/>
      </c>
      <c r="F57" s="10">
        <f>raw_reservations!F57</f>
        <v/>
      </c>
      <c r="G57" s="9">
        <f>raw_reservations!G57</f>
        <v/>
      </c>
      <c r="H57" s="10">
        <f>raw_reservations!H57</f>
        <v/>
      </c>
      <c r="I57" s="10">
        <f>raw_reservations!I57</f>
        <v/>
      </c>
      <c r="J57" s="9">
        <f>raw_reservations!J57</f>
        <v/>
      </c>
      <c r="K57" s="9">
        <f>D57-C57</f>
        <v/>
      </c>
      <c r="L57" s="9">
        <f>IF(COUNTIF(A$2:A57,A57)&gt;1,1,0)</f>
        <v/>
      </c>
      <c r="M57" s="9">
        <f>IF(COUNTIF(properties!$A$2:$A$21,B57)=0,1,0)</f>
        <v/>
      </c>
      <c r="N57" s="9">
        <f>IF(M57=1,0,IF(G57&lt;&gt;INDEX(properties!$E$2:$E$21,MATCH(B57,properties!$A$2:$A$21,0)),1,0))</f>
        <v/>
      </c>
      <c r="O57" s="9">
        <f>IF(OR(I57&gt;F57,AND(E57&lt;&gt;"cancelled",I57&gt;0)),1,0)</f>
        <v/>
      </c>
      <c r="P57" s="9">
        <f>IF(H57&lt;0,1,0)</f>
        <v/>
      </c>
      <c r="Q57" s="9">
        <f>IF(L57+M57+N57+O57=0,1,0)</f>
        <v/>
      </c>
      <c r="R57" s="9">
        <f>IF(AND(Q57=1,E57&lt;&gt;"cancelled"),COUNTIFS($B$2:$B$152,B57,$Q$2:$Q$152,1,$E$2:$E$152,"&lt;&gt;cancelled",$C$2:$C$152,"&lt;"&amp;D57,$D$2:$D$152,"&gt;"&amp;C57)-1,0)</f>
        <v/>
      </c>
      <c r="S57" s="9">
        <f>IF(AND(Q57=1,OR(R57&gt;0,P57=1)),1,0)</f>
        <v/>
      </c>
      <c r="T57" s="9">
        <f>IF(Q57=0,0,IF(AND(S57=1,Dashboard!$C$7="Нет"),0,1))</f>
        <v/>
      </c>
      <c r="U57" s="9">
        <f>IF(L57=1,"Исключено: дубль",IF(M57=1,"Исключено: нет объекта",IF(N57=1,"Исключено: валюта",IF(O57=1,"Исключено: возврат/статус",IF(S57=1,"На проверке","OK")))))</f>
        <v/>
      </c>
      <c r="V57" s="25">
        <f>SUMIFS(commission_rules!$D$2:$D$21,commission_rules!$A$2:$A$21,B57,commission_rules!$B$2:$B$21,"&lt;="&amp;C57,commission_rules!$C$2:$C$21,"&gt;="&amp;C57)</f>
        <v/>
      </c>
      <c r="W57" s="10">
        <f>F57-I57</f>
        <v/>
      </c>
      <c r="X57" s="10">
        <f>IF(F57=0,0,H57*W57/F57)</f>
        <v/>
      </c>
      <c r="Y57" s="10">
        <f>V57*W57</f>
        <v/>
      </c>
      <c r="Z57" s="10">
        <f>W57-X57</f>
        <v/>
      </c>
      <c r="AA57" s="10">
        <f>SUMIFS(calc_payments!$N$2:$N$77,calc_payments!$B$2:$B$77,A57)</f>
        <v/>
      </c>
      <c r="AB57" s="10">
        <f>AA57-Z57</f>
        <v/>
      </c>
      <c r="AC57" s="9">
        <f>IF(T57=0,"",IF(AA57=0,IF(Z57=0,"нечего получать","нет платежа"),IF(ABS(AB57)&lt;1,"сходится","расхождение")))</f>
        <v/>
      </c>
      <c r="AD57" s="9">
        <f>MAX(0,MIN(D57,Dashboard!$C$6+1)-MAX(C57,Dashboard!$C$5))</f>
        <v/>
      </c>
      <c r="AE57" s="26">
        <f>IF(K57=0,0,AD57/K57)*T57</f>
        <v/>
      </c>
      <c r="AF57" s="10">
        <f>F57*AE57</f>
        <v/>
      </c>
      <c r="AG57" s="10">
        <f>I57*AE57</f>
        <v/>
      </c>
      <c r="AH57" s="10">
        <f>W57*AE57</f>
        <v/>
      </c>
      <c r="AI57" s="10">
        <f>X57*AE57</f>
        <v/>
      </c>
      <c r="AJ57" s="10">
        <f>Y57*AE57</f>
        <v/>
      </c>
      <c r="AK57" s="9">
        <f>IF(AND(T57=1,AD57&gt;0),1,0)</f>
        <v/>
      </c>
      <c r="AL57" s="10">
        <f>Z57*AK57</f>
        <v/>
      </c>
      <c r="AM57" s="10">
        <f>AA57*AK57</f>
        <v/>
      </c>
      <c r="AN57" s="9">
        <f>AD57*T57</f>
        <v/>
      </c>
      <c r="AO57" s="9">
        <f>S57*AK57</f>
        <v/>
      </c>
    </row>
    <row r="58">
      <c r="A58" s="9">
        <f>raw_reservations!A58</f>
        <v/>
      </c>
      <c r="B58" s="9">
        <f>raw_reservations!B58</f>
        <v/>
      </c>
      <c r="C58" s="24">
        <f>raw_reservations!C58</f>
        <v/>
      </c>
      <c r="D58" s="24">
        <f>raw_reservations!D58</f>
        <v/>
      </c>
      <c r="E58" s="9">
        <f>raw_reservations!E58</f>
        <v/>
      </c>
      <c r="F58" s="10">
        <f>raw_reservations!F58</f>
        <v/>
      </c>
      <c r="G58" s="9">
        <f>raw_reservations!G58</f>
        <v/>
      </c>
      <c r="H58" s="10">
        <f>raw_reservations!H58</f>
        <v/>
      </c>
      <c r="I58" s="10">
        <f>raw_reservations!I58</f>
        <v/>
      </c>
      <c r="J58" s="9">
        <f>raw_reservations!J58</f>
        <v/>
      </c>
      <c r="K58" s="9">
        <f>D58-C58</f>
        <v/>
      </c>
      <c r="L58" s="9">
        <f>IF(COUNTIF(A$2:A58,A58)&gt;1,1,0)</f>
        <v/>
      </c>
      <c r="M58" s="9">
        <f>IF(COUNTIF(properties!$A$2:$A$21,B58)=0,1,0)</f>
        <v/>
      </c>
      <c r="N58" s="9">
        <f>IF(M58=1,0,IF(G58&lt;&gt;INDEX(properties!$E$2:$E$21,MATCH(B58,properties!$A$2:$A$21,0)),1,0))</f>
        <v/>
      </c>
      <c r="O58" s="9">
        <f>IF(OR(I58&gt;F58,AND(E58&lt;&gt;"cancelled",I58&gt;0)),1,0)</f>
        <v/>
      </c>
      <c r="P58" s="9">
        <f>IF(H58&lt;0,1,0)</f>
        <v/>
      </c>
      <c r="Q58" s="9">
        <f>IF(L58+M58+N58+O58=0,1,0)</f>
        <v/>
      </c>
      <c r="R58" s="9">
        <f>IF(AND(Q58=1,E58&lt;&gt;"cancelled"),COUNTIFS($B$2:$B$152,B58,$Q$2:$Q$152,1,$E$2:$E$152,"&lt;&gt;cancelled",$C$2:$C$152,"&lt;"&amp;D58,$D$2:$D$152,"&gt;"&amp;C58)-1,0)</f>
        <v/>
      </c>
      <c r="S58" s="9">
        <f>IF(AND(Q58=1,OR(R58&gt;0,P58=1)),1,0)</f>
        <v/>
      </c>
      <c r="T58" s="9">
        <f>IF(Q58=0,0,IF(AND(S58=1,Dashboard!$C$7="Нет"),0,1))</f>
        <v/>
      </c>
      <c r="U58" s="9">
        <f>IF(L58=1,"Исключено: дубль",IF(M58=1,"Исключено: нет объекта",IF(N58=1,"Исключено: валюта",IF(O58=1,"Исключено: возврат/статус",IF(S58=1,"На проверке","OK")))))</f>
        <v/>
      </c>
      <c r="V58" s="25">
        <f>SUMIFS(commission_rules!$D$2:$D$21,commission_rules!$A$2:$A$21,B58,commission_rules!$B$2:$B$21,"&lt;="&amp;C58,commission_rules!$C$2:$C$21,"&gt;="&amp;C58)</f>
        <v/>
      </c>
      <c r="W58" s="10">
        <f>F58-I58</f>
        <v/>
      </c>
      <c r="X58" s="10">
        <f>IF(F58=0,0,H58*W58/F58)</f>
        <v/>
      </c>
      <c r="Y58" s="10">
        <f>V58*W58</f>
        <v/>
      </c>
      <c r="Z58" s="10">
        <f>W58-X58</f>
        <v/>
      </c>
      <c r="AA58" s="10">
        <f>SUMIFS(calc_payments!$N$2:$N$77,calc_payments!$B$2:$B$77,A58)</f>
        <v/>
      </c>
      <c r="AB58" s="10">
        <f>AA58-Z58</f>
        <v/>
      </c>
      <c r="AC58" s="9">
        <f>IF(T58=0,"",IF(AA58=0,IF(Z58=0,"нечего получать","нет платежа"),IF(ABS(AB58)&lt;1,"сходится","расхождение")))</f>
        <v/>
      </c>
      <c r="AD58" s="9">
        <f>MAX(0,MIN(D58,Dashboard!$C$6+1)-MAX(C58,Dashboard!$C$5))</f>
        <v/>
      </c>
      <c r="AE58" s="26">
        <f>IF(K58=0,0,AD58/K58)*T58</f>
        <v/>
      </c>
      <c r="AF58" s="10">
        <f>F58*AE58</f>
        <v/>
      </c>
      <c r="AG58" s="10">
        <f>I58*AE58</f>
        <v/>
      </c>
      <c r="AH58" s="10">
        <f>W58*AE58</f>
        <v/>
      </c>
      <c r="AI58" s="10">
        <f>X58*AE58</f>
        <v/>
      </c>
      <c r="AJ58" s="10">
        <f>Y58*AE58</f>
        <v/>
      </c>
      <c r="AK58" s="9">
        <f>IF(AND(T58=1,AD58&gt;0),1,0)</f>
        <v/>
      </c>
      <c r="AL58" s="10">
        <f>Z58*AK58</f>
        <v/>
      </c>
      <c r="AM58" s="10">
        <f>AA58*AK58</f>
        <v/>
      </c>
      <c r="AN58" s="9">
        <f>AD58*T58</f>
        <v/>
      </c>
      <c r="AO58" s="9">
        <f>S58*AK58</f>
        <v/>
      </c>
    </row>
    <row r="59">
      <c r="A59" s="9">
        <f>raw_reservations!A59</f>
        <v/>
      </c>
      <c r="B59" s="9">
        <f>raw_reservations!B59</f>
        <v/>
      </c>
      <c r="C59" s="24">
        <f>raw_reservations!C59</f>
        <v/>
      </c>
      <c r="D59" s="24">
        <f>raw_reservations!D59</f>
        <v/>
      </c>
      <c r="E59" s="9">
        <f>raw_reservations!E59</f>
        <v/>
      </c>
      <c r="F59" s="10">
        <f>raw_reservations!F59</f>
        <v/>
      </c>
      <c r="G59" s="9">
        <f>raw_reservations!G59</f>
        <v/>
      </c>
      <c r="H59" s="10">
        <f>raw_reservations!H59</f>
        <v/>
      </c>
      <c r="I59" s="10">
        <f>raw_reservations!I59</f>
        <v/>
      </c>
      <c r="J59" s="9">
        <f>raw_reservations!J59</f>
        <v/>
      </c>
      <c r="K59" s="9">
        <f>D59-C59</f>
        <v/>
      </c>
      <c r="L59" s="9">
        <f>IF(COUNTIF(A$2:A59,A59)&gt;1,1,0)</f>
        <v/>
      </c>
      <c r="M59" s="9">
        <f>IF(COUNTIF(properties!$A$2:$A$21,B59)=0,1,0)</f>
        <v/>
      </c>
      <c r="N59" s="9">
        <f>IF(M59=1,0,IF(G59&lt;&gt;INDEX(properties!$E$2:$E$21,MATCH(B59,properties!$A$2:$A$21,0)),1,0))</f>
        <v/>
      </c>
      <c r="O59" s="9">
        <f>IF(OR(I59&gt;F59,AND(E59&lt;&gt;"cancelled",I59&gt;0)),1,0)</f>
        <v/>
      </c>
      <c r="P59" s="9">
        <f>IF(H59&lt;0,1,0)</f>
        <v/>
      </c>
      <c r="Q59" s="9">
        <f>IF(L59+M59+N59+O59=0,1,0)</f>
        <v/>
      </c>
      <c r="R59" s="9">
        <f>IF(AND(Q59=1,E59&lt;&gt;"cancelled"),COUNTIFS($B$2:$B$152,B59,$Q$2:$Q$152,1,$E$2:$E$152,"&lt;&gt;cancelled",$C$2:$C$152,"&lt;"&amp;D59,$D$2:$D$152,"&gt;"&amp;C59)-1,0)</f>
        <v/>
      </c>
      <c r="S59" s="9">
        <f>IF(AND(Q59=1,OR(R59&gt;0,P59=1)),1,0)</f>
        <v/>
      </c>
      <c r="T59" s="9">
        <f>IF(Q59=0,0,IF(AND(S59=1,Dashboard!$C$7="Нет"),0,1))</f>
        <v/>
      </c>
      <c r="U59" s="9">
        <f>IF(L59=1,"Исключено: дубль",IF(M59=1,"Исключено: нет объекта",IF(N59=1,"Исключено: валюта",IF(O59=1,"Исключено: возврат/статус",IF(S59=1,"На проверке","OK")))))</f>
        <v/>
      </c>
      <c r="V59" s="25">
        <f>SUMIFS(commission_rules!$D$2:$D$21,commission_rules!$A$2:$A$21,B59,commission_rules!$B$2:$B$21,"&lt;="&amp;C59,commission_rules!$C$2:$C$21,"&gt;="&amp;C59)</f>
        <v/>
      </c>
      <c r="W59" s="10">
        <f>F59-I59</f>
        <v/>
      </c>
      <c r="X59" s="10">
        <f>IF(F59=0,0,H59*W59/F59)</f>
        <v/>
      </c>
      <c r="Y59" s="10">
        <f>V59*W59</f>
        <v/>
      </c>
      <c r="Z59" s="10">
        <f>W59-X59</f>
        <v/>
      </c>
      <c r="AA59" s="10">
        <f>SUMIFS(calc_payments!$N$2:$N$77,calc_payments!$B$2:$B$77,A59)</f>
        <v/>
      </c>
      <c r="AB59" s="10">
        <f>AA59-Z59</f>
        <v/>
      </c>
      <c r="AC59" s="9">
        <f>IF(T59=0,"",IF(AA59=0,IF(Z59=0,"нечего получать","нет платежа"),IF(ABS(AB59)&lt;1,"сходится","расхождение")))</f>
        <v/>
      </c>
      <c r="AD59" s="9">
        <f>MAX(0,MIN(D59,Dashboard!$C$6+1)-MAX(C59,Dashboard!$C$5))</f>
        <v/>
      </c>
      <c r="AE59" s="26">
        <f>IF(K59=0,0,AD59/K59)*T59</f>
        <v/>
      </c>
      <c r="AF59" s="10">
        <f>F59*AE59</f>
        <v/>
      </c>
      <c r="AG59" s="10">
        <f>I59*AE59</f>
        <v/>
      </c>
      <c r="AH59" s="10">
        <f>W59*AE59</f>
        <v/>
      </c>
      <c r="AI59" s="10">
        <f>X59*AE59</f>
        <v/>
      </c>
      <c r="AJ59" s="10">
        <f>Y59*AE59</f>
        <v/>
      </c>
      <c r="AK59" s="9">
        <f>IF(AND(T59=1,AD59&gt;0),1,0)</f>
        <v/>
      </c>
      <c r="AL59" s="10">
        <f>Z59*AK59</f>
        <v/>
      </c>
      <c r="AM59" s="10">
        <f>AA59*AK59</f>
        <v/>
      </c>
      <c r="AN59" s="9">
        <f>AD59*T59</f>
        <v/>
      </c>
      <c r="AO59" s="9">
        <f>S59*AK59</f>
        <v/>
      </c>
    </row>
    <row r="60">
      <c r="A60" s="9">
        <f>raw_reservations!A60</f>
        <v/>
      </c>
      <c r="B60" s="9">
        <f>raw_reservations!B60</f>
        <v/>
      </c>
      <c r="C60" s="24">
        <f>raw_reservations!C60</f>
        <v/>
      </c>
      <c r="D60" s="24">
        <f>raw_reservations!D60</f>
        <v/>
      </c>
      <c r="E60" s="9">
        <f>raw_reservations!E60</f>
        <v/>
      </c>
      <c r="F60" s="10">
        <f>raw_reservations!F60</f>
        <v/>
      </c>
      <c r="G60" s="9">
        <f>raw_reservations!G60</f>
        <v/>
      </c>
      <c r="H60" s="10">
        <f>raw_reservations!H60</f>
        <v/>
      </c>
      <c r="I60" s="10">
        <f>raw_reservations!I60</f>
        <v/>
      </c>
      <c r="J60" s="9">
        <f>raw_reservations!J60</f>
        <v/>
      </c>
      <c r="K60" s="9">
        <f>D60-C60</f>
        <v/>
      </c>
      <c r="L60" s="9">
        <f>IF(COUNTIF(A$2:A60,A60)&gt;1,1,0)</f>
        <v/>
      </c>
      <c r="M60" s="9">
        <f>IF(COUNTIF(properties!$A$2:$A$21,B60)=0,1,0)</f>
        <v/>
      </c>
      <c r="N60" s="9">
        <f>IF(M60=1,0,IF(G60&lt;&gt;INDEX(properties!$E$2:$E$21,MATCH(B60,properties!$A$2:$A$21,0)),1,0))</f>
        <v/>
      </c>
      <c r="O60" s="9">
        <f>IF(OR(I60&gt;F60,AND(E60&lt;&gt;"cancelled",I60&gt;0)),1,0)</f>
        <v/>
      </c>
      <c r="P60" s="9">
        <f>IF(H60&lt;0,1,0)</f>
        <v/>
      </c>
      <c r="Q60" s="9">
        <f>IF(L60+M60+N60+O60=0,1,0)</f>
        <v/>
      </c>
      <c r="R60" s="9">
        <f>IF(AND(Q60=1,E60&lt;&gt;"cancelled"),COUNTIFS($B$2:$B$152,B60,$Q$2:$Q$152,1,$E$2:$E$152,"&lt;&gt;cancelled",$C$2:$C$152,"&lt;"&amp;D60,$D$2:$D$152,"&gt;"&amp;C60)-1,0)</f>
        <v/>
      </c>
      <c r="S60" s="9">
        <f>IF(AND(Q60=1,OR(R60&gt;0,P60=1)),1,0)</f>
        <v/>
      </c>
      <c r="T60" s="9">
        <f>IF(Q60=0,0,IF(AND(S60=1,Dashboard!$C$7="Нет"),0,1))</f>
        <v/>
      </c>
      <c r="U60" s="9">
        <f>IF(L60=1,"Исключено: дубль",IF(M60=1,"Исключено: нет объекта",IF(N60=1,"Исключено: валюта",IF(O60=1,"Исключено: возврат/статус",IF(S60=1,"На проверке","OK")))))</f>
        <v/>
      </c>
      <c r="V60" s="25">
        <f>SUMIFS(commission_rules!$D$2:$D$21,commission_rules!$A$2:$A$21,B60,commission_rules!$B$2:$B$21,"&lt;="&amp;C60,commission_rules!$C$2:$C$21,"&gt;="&amp;C60)</f>
        <v/>
      </c>
      <c r="W60" s="10">
        <f>F60-I60</f>
        <v/>
      </c>
      <c r="X60" s="10">
        <f>IF(F60=0,0,H60*W60/F60)</f>
        <v/>
      </c>
      <c r="Y60" s="10">
        <f>V60*W60</f>
        <v/>
      </c>
      <c r="Z60" s="10">
        <f>W60-X60</f>
        <v/>
      </c>
      <c r="AA60" s="10">
        <f>SUMIFS(calc_payments!$N$2:$N$77,calc_payments!$B$2:$B$77,A60)</f>
        <v/>
      </c>
      <c r="AB60" s="10">
        <f>AA60-Z60</f>
        <v/>
      </c>
      <c r="AC60" s="9">
        <f>IF(T60=0,"",IF(AA60=0,IF(Z60=0,"нечего получать","нет платежа"),IF(ABS(AB60)&lt;1,"сходится","расхождение")))</f>
        <v/>
      </c>
      <c r="AD60" s="9">
        <f>MAX(0,MIN(D60,Dashboard!$C$6+1)-MAX(C60,Dashboard!$C$5))</f>
        <v/>
      </c>
      <c r="AE60" s="26">
        <f>IF(K60=0,0,AD60/K60)*T60</f>
        <v/>
      </c>
      <c r="AF60" s="10">
        <f>F60*AE60</f>
        <v/>
      </c>
      <c r="AG60" s="10">
        <f>I60*AE60</f>
        <v/>
      </c>
      <c r="AH60" s="10">
        <f>W60*AE60</f>
        <v/>
      </c>
      <c r="AI60" s="10">
        <f>X60*AE60</f>
        <v/>
      </c>
      <c r="AJ60" s="10">
        <f>Y60*AE60</f>
        <v/>
      </c>
      <c r="AK60" s="9">
        <f>IF(AND(T60=1,AD60&gt;0),1,0)</f>
        <v/>
      </c>
      <c r="AL60" s="10">
        <f>Z60*AK60</f>
        <v/>
      </c>
      <c r="AM60" s="10">
        <f>AA60*AK60</f>
        <v/>
      </c>
      <c r="AN60" s="9">
        <f>AD60*T60</f>
        <v/>
      </c>
      <c r="AO60" s="9">
        <f>S60*AK60</f>
        <v/>
      </c>
    </row>
    <row r="61">
      <c r="A61" s="9">
        <f>raw_reservations!A61</f>
        <v/>
      </c>
      <c r="B61" s="9">
        <f>raw_reservations!B61</f>
        <v/>
      </c>
      <c r="C61" s="24">
        <f>raw_reservations!C61</f>
        <v/>
      </c>
      <c r="D61" s="24">
        <f>raw_reservations!D61</f>
        <v/>
      </c>
      <c r="E61" s="9">
        <f>raw_reservations!E61</f>
        <v/>
      </c>
      <c r="F61" s="10">
        <f>raw_reservations!F61</f>
        <v/>
      </c>
      <c r="G61" s="9">
        <f>raw_reservations!G61</f>
        <v/>
      </c>
      <c r="H61" s="10">
        <f>raw_reservations!H61</f>
        <v/>
      </c>
      <c r="I61" s="10">
        <f>raw_reservations!I61</f>
        <v/>
      </c>
      <c r="J61" s="9">
        <f>raw_reservations!J61</f>
        <v/>
      </c>
      <c r="K61" s="9">
        <f>D61-C61</f>
        <v/>
      </c>
      <c r="L61" s="9">
        <f>IF(COUNTIF(A$2:A61,A61)&gt;1,1,0)</f>
        <v/>
      </c>
      <c r="M61" s="9">
        <f>IF(COUNTIF(properties!$A$2:$A$21,B61)=0,1,0)</f>
        <v/>
      </c>
      <c r="N61" s="9">
        <f>IF(M61=1,0,IF(G61&lt;&gt;INDEX(properties!$E$2:$E$21,MATCH(B61,properties!$A$2:$A$21,0)),1,0))</f>
        <v/>
      </c>
      <c r="O61" s="9">
        <f>IF(OR(I61&gt;F61,AND(E61&lt;&gt;"cancelled",I61&gt;0)),1,0)</f>
        <v/>
      </c>
      <c r="P61" s="9">
        <f>IF(H61&lt;0,1,0)</f>
        <v/>
      </c>
      <c r="Q61" s="9">
        <f>IF(L61+M61+N61+O61=0,1,0)</f>
        <v/>
      </c>
      <c r="R61" s="9">
        <f>IF(AND(Q61=1,E61&lt;&gt;"cancelled"),COUNTIFS($B$2:$B$152,B61,$Q$2:$Q$152,1,$E$2:$E$152,"&lt;&gt;cancelled",$C$2:$C$152,"&lt;"&amp;D61,$D$2:$D$152,"&gt;"&amp;C61)-1,0)</f>
        <v/>
      </c>
      <c r="S61" s="9">
        <f>IF(AND(Q61=1,OR(R61&gt;0,P61=1)),1,0)</f>
        <v/>
      </c>
      <c r="T61" s="9">
        <f>IF(Q61=0,0,IF(AND(S61=1,Dashboard!$C$7="Нет"),0,1))</f>
        <v/>
      </c>
      <c r="U61" s="9">
        <f>IF(L61=1,"Исключено: дубль",IF(M61=1,"Исключено: нет объекта",IF(N61=1,"Исключено: валюта",IF(O61=1,"Исключено: возврат/статус",IF(S61=1,"На проверке","OK")))))</f>
        <v/>
      </c>
      <c r="V61" s="25">
        <f>SUMIFS(commission_rules!$D$2:$D$21,commission_rules!$A$2:$A$21,B61,commission_rules!$B$2:$B$21,"&lt;="&amp;C61,commission_rules!$C$2:$C$21,"&gt;="&amp;C61)</f>
        <v/>
      </c>
      <c r="W61" s="10">
        <f>F61-I61</f>
        <v/>
      </c>
      <c r="X61" s="10">
        <f>IF(F61=0,0,H61*W61/F61)</f>
        <v/>
      </c>
      <c r="Y61" s="10">
        <f>V61*W61</f>
        <v/>
      </c>
      <c r="Z61" s="10">
        <f>W61-X61</f>
        <v/>
      </c>
      <c r="AA61" s="10">
        <f>SUMIFS(calc_payments!$N$2:$N$77,calc_payments!$B$2:$B$77,A61)</f>
        <v/>
      </c>
      <c r="AB61" s="10">
        <f>AA61-Z61</f>
        <v/>
      </c>
      <c r="AC61" s="9">
        <f>IF(T61=0,"",IF(AA61=0,IF(Z61=0,"нечего получать","нет платежа"),IF(ABS(AB61)&lt;1,"сходится","расхождение")))</f>
        <v/>
      </c>
      <c r="AD61" s="9">
        <f>MAX(0,MIN(D61,Dashboard!$C$6+1)-MAX(C61,Dashboard!$C$5))</f>
        <v/>
      </c>
      <c r="AE61" s="26">
        <f>IF(K61=0,0,AD61/K61)*T61</f>
        <v/>
      </c>
      <c r="AF61" s="10">
        <f>F61*AE61</f>
        <v/>
      </c>
      <c r="AG61" s="10">
        <f>I61*AE61</f>
        <v/>
      </c>
      <c r="AH61" s="10">
        <f>W61*AE61</f>
        <v/>
      </c>
      <c r="AI61" s="10">
        <f>X61*AE61</f>
        <v/>
      </c>
      <c r="AJ61" s="10">
        <f>Y61*AE61</f>
        <v/>
      </c>
      <c r="AK61" s="9">
        <f>IF(AND(T61=1,AD61&gt;0),1,0)</f>
        <v/>
      </c>
      <c r="AL61" s="10">
        <f>Z61*AK61</f>
        <v/>
      </c>
      <c r="AM61" s="10">
        <f>AA61*AK61</f>
        <v/>
      </c>
      <c r="AN61" s="9">
        <f>AD61*T61</f>
        <v/>
      </c>
      <c r="AO61" s="9">
        <f>S61*AK61</f>
        <v/>
      </c>
    </row>
    <row r="62">
      <c r="A62" s="9">
        <f>raw_reservations!A62</f>
        <v/>
      </c>
      <c r="B62" s="9">
        <f>raw_reservations!B62</f>
        <v/>
      </c>
      <c r="C62" s="24">
        <f>raw_reservations!C62</f>
        <v/>
      </c>
      <c r="D62" s="24">
        <f>raw_reservations!D62</f>
        <v/>
      </c>
      <c r="E62" s="9">
        <f>raw_reservations!E62</f>
        <v/>
      </c>
      <c r="F62" s="10">
        <f>raw_reservations!F62</f>
        <v/>
      </c>
      <c r="G62" s="9">
        <f>raw_reservations!G62</f>
        <v/>
      </c>
      <c r="H62" s="10">
        <f>raw_reservations!H62</f>
        <v/>
      </c>
      <c r="I62" s="10">
        <f>raw_reservations!I62</f>
        <v/>
      </c>
      <c r="J62" s="9">
        <f>raw_reservations!J62</f>
        <v/>
      </c>
      <c r="K62" s="9">
        <f>D62-C62</f>
        <v/>
      </c>
      <c r="L62" s="9">
        <f>IF(COUNTIF(A$2:A62,A62)&gt;1,1,0)</f>
        <v/>
      </c>
      <c r="M62" s="9">
        <f>IF(COUNTIF(properties!$A$2:$A$21,B62)=0,1,0)</f>
        <v/>
      </c>
      <c r="N62" s="9">
        <f>IF(M62=1,0,IF(G62&lt;&gt;INDEX(properties!$E$2:$E$21,MATCH(B62,properties!$A$2:$A$21,0)),1,0))</f>
        <v/>
      </c>
      <c r="O62" s="9">
        <f>IF(OR(I62&gt;F62,AND(E62&lt;&gt;"cancelled",I62&gt;0)),1,0)</f>
        <v/>
      </c>
      <c r="P62" s="9">
        <f>IF(H62&lt;0,1,0)</f>
        <v/>
      </c>
      <c r="Q62" s="9">
        <f>IF(L62+M62+N62+O62=0,1,0)</f>
        <v/>
      </c>
      <c r="R62" s="9">
        <f>IF(AND(Q62=1,E62&lt;&gt;"cancelled"),COUNTIFS($B$2:$B$152,B62,$Q$2:$Q$152,1,$E$2:$E$152,"&lt;&gt;cancelled",$C$2:$C$152,"&lt;"&amp;D62,$D$2:$D$152,"&gt;"&amp;C62)-1,0)</f>
        <v/>
      </c>
      <c r="S62" s="9">
        <f>IF(AND(Q62=1,OR(R62&gt;0,P62=1)),1,0)</f>
        <v/>
      </c>
      <c r="T62" s="9">
        <f>IF(Q62=0,0,IF(AND(S62=1,Dashboard!$C$7="Нет"),0,1))</f>
        <v/>
      </c>
      <c r="U62" s="9">
        <f>IF(L62=1,"Исключено: дубль",IF(M62=1,"Исключено: нет объекта",IF(N62=1,"Исключено: валюта",IF(O62=1,"Исключено: возврат/статус",IF(S62=1,"На проверке","OK")))))</f>
        <v/>
      </c>
      <c r="V62" s="25">
        <f>SUMIFS(commission_rules!$D$2:$D$21,commission_rules!$A$2:$A$21,B62,commission_rules!$B$2:$B$21,"&lt;="&amp;C62,commission_rules!$C$2:$C$21,"&gt;="&amp;C62)</f>
        <v/>
      </c>
      <c r="W62" s="10">
        <f>F62-I62</f>
        <v/>
      </c>
      <c r="X62" s="10">
        <f>IF(F62=0,0,H62*W62/F62)</f>
        <v/>
      </c>
      <c r="Y62" s="10">
        <f>V62*W62</f>
        <v/>
      </c>
      <c r="Z62" s="10">
        <f>W62-X62</f>
        <v/>
      </c>
      <c r="AA62" s="10">
        <f>SUMIFS(calc_payments!$N$2:$N$77,calc_payments!$B$2:$B$77,A62)</f>
        <v/>
      </c>
      <c r="AB62" s="10">
        <f>AA62-Z62</f>
        <v/>
      </c>
      <c r="AC62" s="9">
        <f>IF(T62=0,"",IF(AA62=0,IF(Z62=0,"нечего получать","нет платежа"),IF(ABS(AB62)&lt;1,"сходится","расхождение")))</f>
        <v/>
      </c>
      <c r="AD62" s="9">
        <f>MAX(0,MIN(D62,Dashboard!$C$6+1)-MAX(C62,Dashboard!$C$5))</f>
        <v/>
      </c>
      <c r="AE62" s="26">
        <f>IF(K62=0,0,AD62/K62)*T62</f>
        <v/>
      </c>
      <c r="AF62" s="10">
        <f>F62*AE62</f>
        <v/>
      </c>
      <c r="AG62" s="10">
        <f>I62*AE62</f>
        <v/>
      </c>
      <c r="AH62" s="10">
        <f>W62*AE62</f>
        <v/>
      </c>
      <c r="AI62" s="10">
        <f>X62*AE62</f>
        <v/>
      </c>
      <c r="AJ62" s="10">
        <f>Y62*AE62</f>
        <v/>
      </c>
      <c r="AK62" s="9">
        <f>IF(AND(T62=1,AD62&gt;0),1,0)</f>
        <v/>
      </c>
      <c r="AL62" s="10">
        <f>Z62*AK62</f>
        <v/>
      </c>
      <c r="AM62" s="10">
        <f>AA62*AK62</f>
        <v/>
      </c>
      <c r="AN62" s="9">
        <f>AD62*T62</f>
        <v/>
      </c>
      <c r="AO62" s="9">
        <f>S62*AK62</f>
        <v/>
      </c>
    </row>
    <row r="63">
      <c r="A63" s="9">
        <f>raw_reservations!A63</f>
        <v/>
      </c>
      <c r="B63" s="9">
        <f>raw_reservations!B63</f>
        <v/>
      </c>
      <c r="C63" s="24">
        <f>raw_reservations!C63</f>
        <v/>
      </c>
      <c r="D63" s="24">
        <f>raw_reservations!D63</f>
        <v/>
      </c>
      <c r="E63" s="9">
        <f>raw_reservations!E63</f>
        <v/>
      </c>
      <c r="F63" s="10">
        <f>raw_reservations!F63</f>
        <v/>
      </c>
      <c r="G63" s="9">
        <f>raw_reservations!G63</f>
        <v/>
      </c>
      <c r="H63" s="10">
        <f>raw_reservations!H63</f>
        <v/>
      </c>
      <c r="I63" s="10">
        <f>raw_reservations!I63</f>
        <v/>
      </c>
      <c r="J63" s="9">
        <f>raw_reservations!J63</f>
        <v/>
      </c>
      <c r="K63" s="9">
        <f>D63-C63</f>
        <v/>
      </c>
      <c r="L63" s="9">
        <f>IF(COUNTIF(A$2:A63,A63)&gt;1,1,0)</f>
        <v/>
      </c>
      <c r="M63" s="9">
        <f>IF(COUNTIF(properties!$A$2:$A$21,B63)=0,1,0)</f>
        <v/>
      </c>
      <c r="N63" s="9">
        <f>IF(M63=1,0,IF(G63&lt;&gt;INDEX(properties!$E$2:$E$21,MATCH(B63,properties!$A$2:$A$21,0)),1,0))</f>
        <v/>
      </c>
      <c r="O63" s="9">
        <f>IF(OR(I63&gt;F63,AND(E63&lt;&gt;"cancelled",I63&gt;0)),1,0)</f>
        <v/>
      </c>
      <c r="P63" s="9">
        <f>IF(H63&lt;0,1,0)</f>
        <v/>
      </c>
      <c r="Q63" s="9">
        <f>IF(L63+M63+N63+O63=0,1,0)</f>
        <v/>
      </c>
      <c r="R63" s="9">
        <f>IF(AND(Q63=1,E63&lt;&gt;"cancelled"),COUNTIFS($B$2:$B$152,B63,$Q$2:$Q$152,1,$E$2:$E$152,"&lt;&gt;cancelled",$C$2:$C$152,"&lt;"&amp;D63,$D$2:$D$152,"&gt;"&amp;C63)-1,0)</f>
        <v/>
      </c>
      <c r="S63" s="9">
        <f>IF(AND(Q63=1,OR(R63&gt;0,P63=1)),1,0)</f>
        <v/>
      </c>
      <c r="T63" s="9">
        <f>IF(Q63=0,0,IF(AND(S63=1,Dashboard!$C$7="Нет"),0,1))</f>
        <v/>
      </c>
      <c r="U63" s="9">
        <f>IF(L63=1,"Исключено: дубль",IF(M63=1,"Исключено: нет объекта",IF(N63=1,"Исключено: валюта",IF(O63=1,"Исключено: возврат/статус",IF(S63=1,"На проверке","OK")))))</f>
        <v/>
      </c>
      <c r="V63" s="25">
        <f>SUMIFS(commission_rules!$D$2:$D$21,commission_rules!$A$2:$A$21,B63,commission_rules!$B$2:$B$21,"&lt;="&amp;C63,commission_rules!$C$2:$C$21,"&gt;="&amp;C63)</f>
        <v/>
      </c>
      <c r="W63" s="10">
        <f>F63-I63</f>
        <v/>
      </c>
      <c r="X63" s="10">
        <f>IF(F63=0,0,H63*W63/F63)</f>
        <v/>
      </c>
      <c r="Y63" s="10">
        <f>V63*W63</f>
        <v/>
      </c>
      <c r="Z63" s="10">
        <f>W63-X63</f>
        <v/>
      </c>
      <c r="AA63" s="10">
        <f>SUMIFS(calc_payments!$N$2:$N$77,calc_payments!$B$2:$B$77,A63)</f>
        <v/>
      </c>
      <c r="AB63" s="10">
        <f>AA63-Z63</f>
        <v/>
      </c>
      <c r="AC63" s="9">
        <f>IF(T63=0,"",IF(AA63=0,IF(Z63=0,"нечего получать","нет платежа"),IF(ABS(AB63)&lt;1,"сходится","расхождение")))</f>
        <v/>
      </c>
      <c r="AD63" s="9">
        <f>MAX(0,MIN(D63,Dashboard!$C$6+1)-MAX(C63,Dashboard!$C$5))</f>
        <v/>
      </c>
      <c r="AE63" s="26">
        <f>IF(K63=0,0,AD63/K63)*T63</f>
        <v/>
      </c>
      <c r="AF63" s="10">
        <f>F63*AE63</f>
        <v/>
      </c>
      <c r="AG63" s="10">
        <f>I63*AE63</f>
        <v/>
      </c>
      <c r="AH63" s="10">
        <f>W63*AE63</f>
        <v/>
      </c>
      <c r="AI63" s="10">
        <f>X63*AE63</f>
        <v/>
      </c>
      <c r="AJ63" s="10">
        <f>Y63*AE63</f>
        <v/>
      </c>
      <c r="AK63" s="9">
        <f>IF(AND(T63=1,AD63&gt;0),1,0)</f>
        <v/>
      </c>
      <c r="AL63" s="10">
        <f>Z63*AK63</f>
        <v/>
      </c>
      <c r="AM63" s="10">
        <f>AA63*AK63</f>
        <v/>
      </c>
      <c r="AN63" s="9">
        <f>AD63*T63</f>
        <v/>
      </c>
      <c r="AO63" s="9">
        <f>S63*AK63</f>
        <v/>
      </c>
    </row>
    <row r="64">
      <c r="A64" s="9">
        <f>raw_reservations!A64</f>
        <v/>
      </c>
      <c r="B64" s="9">
        <f>raw_reservations!B64</f>
        <v/>
      </c>
      <c r="C64" s="24">
        <f>raw_reservations!C64</f>
        <v/>
      </c>
      <c r="D64" s="24">
        <f>raw_reservations!D64</f>
        <v/>
      </c>
      <c r="E64" s="9">
        <f>raw_reservations!E64</f>
        <v/>
      </c>
      <c r="F64" s="10">
        <f>raw_reservations!F64</f>
        <v/>
      </c>
      <c r="G64" s="9">
        <f>raw_reservations!G64</f>
        <v/>
      </c>
      <c r="H64" s="10">
        <f>raw_reservations!H64</f>
        <v/>
      </c>
      <c r="I64" s="10">
        <f>raw_reservations!I64</f>
        <v/>
      </c>
      <c r="J64" s="9">
        <f>raw_reservations!J64</f>
        <v/>
      </c>
      <c r="K64" s="9">
        <f>D64-C64</f>
        <v/>
      </c>
      <c r="L64" s="9">
        <f>IF(COUNTIF(A$2:A64,A64)&gt;1,1,0)</f>
        <v/>
      </c>
      <c r="M64" s="9">
        <f>IF(COUNTIF(properties!$A$2:$A$21,B64)=0,1,0)</f>
        <v/>
      </c>
      <c r="N64" s="9">
        <f>IF(M64=1,0,IF(G64&lt;&gt;INDEX(properties!$E$2:$E$21,MATCH(B64,properties!$A$2:$A$21,0)),1,0))</f>
        <v/>
      </c>
      <c r="O64" s="9">
        <f>IF(OR(I64&gt;F64,AND(E64&lt;&gt;"cancelled",I64&gt;0)),1,0)</f>
        <v/>
      </c>
      <c r="P64" s="9">
        <f>IF(H64&lt;0,1,0)</f>
        <v/>
      </c>
      <c r="Q64" s="9">
        <f>IF(L64+M64+N64+O64=0,1,0)</f>
        <v/>
      </c>
      <c r="R64" s="9">
        <f>IF(AND(Q64=1,E64&lt;&gt;"cancelled"),COUNTIFS($B$2:$B$152,B64,$Q$2:$Q$152,1,$E$2:$E$152,"&lt;&gt;cancelled",$C$2:$C$152,"&lt;"&amp;D64,$D$2:$D$152,"&gt;"&amp;C64)-1,0)</f>
        <v/>
      </c>
      <c r="S64" s="9">
        <f>IF(AND(Q64=1,OR(R64&gt;0,P64=1)),1,0)</f>
        <v/>
      </c>
      <c r="T64" s="9">
        <f>IF(Q64=0,0,IF(AND(S64=1,Dashboard!$C$7="Нет"),0,1))</f>
        <v/>
      </c>
      <c r="U64" s="9">
        <f>IF(L64=1,"Исключено: дубль",IF(M64=1,"Исключено: нет объекта",IF(N64=1,"Исключено: валюта",IF(O64=1,"Исключено: возврат/статус",IF(S64=1,"На проверке","OK")))))</f>
        <v/>
      </c>
      <c r="V64" s="25">
        <f>SUMIFS(commission_rules!$D$2:$D$21,commission_rules!$A$2:$A$21,B64,commission_rules!$B$2:$B$21,"&lt;="&amp;C64,commission_rules!$C$2:$C$21,"&gt;="&amp;C64)</f>
        <v/>
      </c>
      <c r="W64" s="10">
        <f>F64-I64</f>
        <v/>
      </c>
      <c r="X64" s="10">
        <f>IF(F64=0,0,H64*W64/F64)</f>
        <v/>
      </c>
      <c r="Y64" s="10">
        <f>V64*W64</f>
        <v/>
      </c>
      <c r="Z64" s="10">
        <f>W64-X64</f>
        <v/>
      </c>
      <c r="AA64" s="10">
        <f>SUMIFS(calc_payments!$N$2:$N$77,calc_payments!$B$2:$B$77,A64)</f>
        <v/>
      </c>
      <c r="AB64" s="10">
        <f>AA64-Z64</f>
        <v/>
      </c>
      <c r="AC64" s="9">
        <f>IF(T64=0,"",IF(AA64=0,IF(Z64=0,"нечего получать","нет платежа"),IF(ABS(AB64)&lt;1,"сходится","расхождение")))</f>
        <v/>
      </c>
      <c r="AD64" s="9">
        <f>MAX(0,MIN(D64,Dashboard!$C$6+1)-MAX(C64,Dashboard!$C$5))</f>
        <v/>
      </c>
      <c r="AE64" s="26">
        <f>IF(K64=0,0,AD64/K64)*T64</f>
        <v/>
      </c>
      <c r="AF64" s="10">
        <f>F64*AE64</f>
        <v/>
      </c>
      <c r="AG64" s="10">
        <f>I64*AE64</f>
        <v/>
      </c>
      <c r="AH64" s="10">
        <f>W64*AE64</f>
        <v/>
      </c>
      <c r="AI64" s="10">
        <f>X64*AE64</f>
        <v/>
      </c>
      <c r="AJ64" s="10">
        <f>Y64*AE64</f>
        <v/>
      </c>
      <c r="AK64" s="9">
        <f>IF(AND(T64=1,AD64&gt;0),1,0)</f>
        <v/>
      </c>
      <c r="AL64" s="10">
        <f>Z64*AK64</f>
        <v/>
      </c>
      <c r="AM64" s="10">
        <f>AA64*AK64</f>
        <v/>
      </c>
      <c r="AN64" s="9">
        <f>AD64*T64</f>
        <v/>
      </c>
      <c r="AO64" s="9">
        <f>S64*AK64</f>
        <v/>
      </c>
    </row>
    <row r="65">
      <c r="A65" s="9">
        <f>raw_reservations!A65</f>
        <v/>
      </c>
      <c r="B65" s="9">
        <f>raw_reservations!B65</f>
        <v/>
      </c>
      <c r="C65" s="24">
        <f>raw_reservations!C65</f>
        <v/>
      </c>
      <c r="D65" s="24">
        <f>raw_reservations!D65</f>
        <v/>
      </c>
      <c r="E65" s="9">
        <f>raw_reservations!E65</f>
        <v/>
      </c>
      <c r="F65" s="10">
        <f>raw_reservations!F65</f>
        <v/>
      </c>
      <c r="G65" s="9">
        <f>raw_reservations!G65</f>
        <v/>
      </c>
      <c r="H65" s="10">
        <f>raw_reservations!H65</f>
        <v/>
      </c>
      <c r="I65" s="10">
        <f>raw_reservations!I65</f>
        <v/>
      </c>
      <c r="J65" s="9">
        <f>raw_reservations!J65</f>
        <v/>
      </c>
      <c r="K65" s="9">
        <f>D65-C65</f>
        <v/>
      </c>
      <c r="L65" s="9">
        <f>IF(COUNTIF(A$2:A65,A65)&gt;1,1,0)</f>
        <v/>
      </c>
      <c r="M65" s="9">
        <f>IF(COUNTIF(properties!$A$2:$A$21,B65)=0,1,0)</f>
        <v/>
      </c>
      <c r="N65" s="9">
        <f>IF(M65=1,0,IF(G65&lt;&gt;INDEX(properties!$E$2:$E$21,MATCH(B65,properties!$A$2:$A$21,0)),1,0))</f>
        <v/>
      </c>
      <c r="O65" s="9">
        <f>IF(OR(I65&gt;F65,AND(E65&lt;&gt;"cancelled",I65&gt;0)),1,0)</f>
        <v/>
      </c>
      <c r="P65" s="9">
        <f>IF(H65&lt;0,1,0)</f>
        <v/>
      </c>
      <c r="Q65" s="9">
        <f>IF(L65+M65+N65+O65=0,1,0)</f>
        <v/>
      </c>
      <c r="R65" s="9">
        <f>IF(AND(Q65=1,E65&lt;&gt;"cancelled"),COUNTIFS($B$2:$B$152,B65,$Q$2:$Q$152,1,$E$2:$E$152,"&lt;&gt;cancelled",$C$2:$C$152,"&lt;"&amp;D65,$D$2:$D$152,"&gt;"&amp;C65)-1,0)</f>
        <v/>
      </c>
      <c r="S65" s="9">
        <f>IF(AND(Q65=1,OR(R65&gt;0,P65=1)),1,0)</f>
        <v/>
      </c>
      <c r="T65" s="9">
        <f>IF(Q65=0,0,IF(AND(S65=1,Dashboard!$C$7="Нет"),0,1))</f>
        <v/>
      </c>
      <c r="U65" s="9">
        <f>IF(L65=1,"Исключено: дубль",IF(M65=1,"Исключено: нет объекта",IF(N65=1,"Исключено: валюта",IF(O65=1,"Исключено: возврат/статус",IF(S65=1,"На проверке","OK")))))</f>
        <v/>
      </c>
      <c r="V65" s="25">
        <f>SUMIFS(commission_rules!$D$2:$D$21,commission_rules!$A$2:$A$21,B65,commission_rules!$B$2:$B$21,"&lt;="&amp;C65,commission_rules!$C$2:$C$21,"&gt;="&amp;C65)</f>
        <v/>
      </c>
      <c r="W65" s="10">
        <f>F65-I65</f>
        <v/>
      </c>
      <c r="X65" s="10">
        <f>IF(F65=0,0,H65*W65/F65)</f>
        <v/>
      </c>
      <c r="Y65" s="10">
        <f>V65*W65</f>
        <v/>
      </c>
      <c r="Z65" s="10">
        <f>W65-X65</f>
        <v/>
      </c>
      <c r="AA65" s="10">
        <f>SUMIFS(calc_payments!$N$2:$N$77,calc_payments!$B$2:$B$77,A65)</f>
        <v/>
      </c>
      <c r="AB65" s="10">
        <f>AA65-Z65</f>
        <v/>
      </c>
      <c r="AC65" s="9">
        <f>IF(T65=0,"",IF(AA65=0,IF(Z65=0,"нечего получать","нет платежа"),IF(ABS(AB65)&lt;1,"сходится","расхождение")))</f>
        <v/>
      </c>
      <c r="AD65" s="9">
        <f>MAX(0,MIN(D65,Dashboard!$C$6+1)-MAX(C65,Dashboard!$C$5))</f>
        <v/>
      </c>
      <c r="AE65" s="26">
        <f>IF(K65=0,0,AD65/K65)*T65</f>
        <v/>
      </c>
      <c r="AF65" s="10">
        <f>F65*AE65</f>
        <v/>
      </c>
      <c r="AG65" s="10">
        <f>I65*AE65</f>
        <v/>
      </c>
      <c r="AH65" s="10">
        <f>W65*AE65</f>
        <v/>
      </c>
      <c r="AI65" s="10">
        <f>X65*AE65</f>
        <v/>
      </c>
      <c r="AJ65" s="10">
        <f>Y65*AE65</f>
        <v/>
      </c>
      <c r="AK65" s="9">
        <f>IF(AND(T65=1,AD65&gt;0),1,0)</f>
        <v/>
      </c>
      <c r="AL65" s="10">
        <f>Z65*AK65</f>
        <v/>
      </c>
      <c r="AM65" s="10">
        <f>AA65*AK65</f>
        <v/>
      </c>
      <c r="AN65" s="9">
        <f>AD65*T65</f>
        <v/>
      </c>
      <c r="AO65" s="9">
        <f>S65*AK65</f>
        <v/>
      </c>
    </row>
    <row r="66">
      <c r="A66" s="9">
        <f>raw_reservations!A66</f>
        <v/>
      </c>
      <c r="B66" s="9">
        <f>raw_reservations!B66</f>
        <v/>
      </c>
      <c r="C66" s="24">
        <f>raw_reservations!C66</f>
        <v/>
      </c>
      <c r="D66" s="24">
        <f>raw_reservations!D66</f>
        <v/>
      </c>
      <c r="E66" s="9">
        <f>raw_reservations!E66</f>
        <v/>
      </c>
      <c r="F66" s="10">
        <f>raw_reservations!F66</f>
        <v/>
      </c>
      <c r="G66" s="9">
        <f>raw_reservations!G66</f>
        <v/>
      </c>
      <c r="H66" s="10">
        <f>raw_reservations!H66</f>
        <v/>
      </c>
      <c r="I66" s="10">
        <f>raw_reservations!I66</f>
        <v/>
      </c>
      <c r="J66" s="9">
        <f>raw_reservations!J66</f>
        <v/>
      </c>
      <c r="K66" s="9">
        <f>D66-C66</f>
        <v/>
      </c>
      <c r="L66" s="9">
        <f>IF(COUNTIF(A$2:A66,A66)&gt;1,1,0)</f>
        <v/>
      </c>
      <c r="M66" s="9">
        <f>IF(COUNTIF(properties!$A$2:$A$21,B66)=0,1,0)</f>
        <v/>
      </c>
      <c r="N66" s="9">
        <f>IF(M66=1,0,IF(G66&lt;&gt;INDEX(properties!$E$2:$E$21,MATCH(B66,properties!$A$2:$A$21,0)),1,0))</f>
        <v/>
      </c>
      <c r="O66" s="9">
        <f>IF(OR(I66&gt;F66,AND(E66&lt;&gt;"cancelled",I66&gt;0)),1,0)</f>
        <v/>
      </c>
      <c r="P66" s="9">
        <f>IF(H66&lt;0,1,0)</f>
        <v/>
      </c>
      <c r="Q66" s="9">
        <f>IF(L66+M66+N66+O66=0,1,0)</f>
        <v/>
      </c>
      <c r="R66" s="9">
        <f>IF(AND(Q66=1,E66&lt;&gt;"cancelled"),COUNTIFS($B$2:$B$152,B66,$Q$2:$Q$152,1,$E$2:$E$152,"&lt;&gt;cancelled",$C$2:$C$152,"&lt;"&amp;D66,$D$2:$D$152,"&gt;"&amp;C66)-1,0)</f>
        <v/>
      </c>
      <c r="S66" s="9">
        <f>IF(AND(Q66=1,OR(R66&gt;0,P66=1)),1,0)</f>
        <v/>
      </c>
      <c r="T66" s="9">
        <f>IF(Q66=0,0,IF(AND(S66=1,Dashboard!$C$7="Нет"),0,1))</f>
        <v/>
      </c>
      <c r="U66" s="9">
        <f>IF(L66=1,"Исключено: дубль",IF(M66=1,"Исключено: нет объекта",IF(N66=1,"Исключено: валюта",IF(O66=1,"Исключено: возврат/статус",IF(S66=1,"На проверке","OK")))))</f>
        <v/>
      </c>
      <c r="V66" s="25">
        <f>SUMIFS(commission_rules!$D$2:$D$21,commission_rules!$A$2:$A$21,B66,commission_rules!$B$2:$B$21,"&lt;="&amp;C66,commission_rules!$C$2:$C$21,"&gt;="&amp;C66)</f>
        <v/>
      </c>
      <c r="W66" s="10">
        <f>F66-I66</f>
        <v/>
      </c>
      <c r="X66" s="10">
        <f>IF(F66=0,0,H66*W66/F66)</f>
        <v/>
      </c>
      <c r="Y66" s="10">
        <f>V66*W66</f>
        <v/>
      </c>
      <c r="Z66" s="10">
        <f>W66-X66</f>
        <v/>
      </c>
      <c r="AA66" s="10">
        <f>SUMIFS(calc_payments!$N$2:$N$77,calc_payments!$B$2:$B$77,A66)</f>
        <v/>
      </c>
      <c r="AB66" s="10">
        <f>AA66-Z66</f>
        <v/>
      </c>
      <c r="AC66" s="9">
        <f>IF(T66=0,"",IF(AA66=0,IF(Z66=0,"нечего получать","нет платежа"),IF(ABS(AB66)&lt;1,"сходится","расхождение")))</f>
        <v/>
      </c>
      <c r="AD66" s="9">
        <f>MAX(0,MIN(D66,Dashboard!$C$6+1)-MAX(C66,Dashboard!$C$5))</f>
        <v/>
      </c>
      <c r="AE66" s="26">
        <f>IF(K66=0,0,AD66/K66)*T66</f>
        <v/>
      </c>
      <c r="AF66" s="10">
        <f>F66*AE66</f>
        <v/>
      </c>
      <c r="AG66" s="10">
        <f>I66*AE66</f>
        <v/>
      </c>
      <c r="AH66" s="10">
        <f>W66*AE66</f>
        <v/>
      </c>
      <c r="AI66" s="10">
        <f>X66*AE66</f>
        <v/>
      </c>
      <c r="AJ66" s="10">
        <f>Y66*AE66</f>
        <v/>
      </c>
      <c r="AK66" s="9">
        <f>IF(AND(T66=1,AD66&gt;0),1,0)</f>
        <v/>
      </c>
      <c r="AL66" s="10">
        <f>Z66*AK66</f>
        <v/>
      </c>
      <c r="AM66" s="10">
        <f>AA66*AK66</f>
        <v/>
      </c>
      <c r="AN66" s="9">
        <f>AD66*T66</f>
        <v/>
      </c>
      <c r="AO66" s="9">
        <f>S66*AK66</f>
        <v/>
      </c>
    </row>
    <row r="67">
      <c r="A67" s="9">
        <f>raw_reservations!A67</f>
        <v/>
      </c>
      <c r="B67" s="9">
        <f>raw_reservations!B67</f>
        <v/>
      </c>
      <c r="C67" s="24">
        <f>raw_reservations!C67</f>
        <v/>
      </c>
      <c r="D67" s="24">
        <f>raw_reservations!D67</f>
        <v/>
      </c>
      <c r="E67" s="9">
        <f>raw_reservations!E67</f>
        <v/>
      </c>
      <c r="F67" s="10">
        <f>raw_reservations!F67</f>
        <v/>
      </c>
      <c r="G67" s="9">
        <f>raw_reservations!G67</f>
        <v/>
      </c>
      <c r="H67" s="10">
        <f>raw_reservations!H67</f>
        <v/>
      </c>
      <c r="I67" s="10">
        <f>raw_reservations!I67</f>
        <v/>
      </c>
      <c r="J67" s="9">
        <f>raw_reservations!J67</f>
        <v/>
      </c>
      <c r="K67" s="9">
        <f>D67-C67</f>
        <v/>
      </c>
      <c r="L67" s="9">
        <f>IF(COUNTIF(A$2:A67,A67)&gt;1,1,0)</f>
        <v/>
      </c>
      <c r="M67" s="9">
        <f>IF(COUNTIF(properties!$A$2:$A$21,B67)=0,1,0)</f>
        <v/>
      </c>
      <c r="N67" s="9">
        <f>IF(M67=1,0,IF(G67&lt;&gt;INDEX(properties!$E$2:$E$21,MATCH(B67,properties!$A$2:$A$21,0)),1,0))</f>
        <v/>
      </c>
      <c r="O67" s="9">
        <f>IF(OR(I67&gt;F67,AND(E67&lt;&gt;"cancelled",I67&gt;0)),1,0)</f>
        <v/>
      </c>
      <c r="P67" s="9">
        <f>IF(H67&lt;0,1,0)</f>
        <v/>
      </c>
      <c r="Q67" s="9">
        <f>IF(L67+M67+N67+O67=0,1,0)</f>
        <v/>
      </c>
      <c r="R67" s="9">
        <f>IF(AND(Q67=1,E67&lt;&gt;"cancelled"),COUNTIFS($B$2:$B$152,B67,$Q$2:$Q$152,1,$E$2:$E$152,"&lt;&gt;cancelled",$C$2:$C$152,"&lt;"&amp;D67,$D$2:$D$152,"&gt;"&amp;C67)-1,0)</f>
        <v/>
      </c>
      <c r="S67" s="9">
        <f>IF(AND(Q67=1,OR(R67&gt;0,P67=1)),1,0)</f>
        <v/>
      </c>
      <c r="T67" s="9">
        <f>IF(Q67=0,0,IF(AND(S67=1,Dashboard!$C$7="Нет"),0,1))</f>
        <v/>
      </c>
      <c r="U67" s="9">
        <f>IF(L67=1,"Исключено: дубль",IF(M67=1,"Исключено: нет объекта",IF(N67=1,"Исключено: валюта",IF(O67=1,"Исключено: возврат/статус",IF(S67=1,"На проверке","OK")))))</f>
        <v/>
      </c>
      <c r="V67" s="25">
        <f>SUMIFS(commission_rules!$D$2:$D$21,commission_rules!$A$2:$A$21,B67,commission_rules!$B$2:$B$21,"&lt;="&amp;C67,commission_rules!$C$2:$C$21,"&gt;="&amp;C67)</f>
        <v/>
      </c>
      <c r="W67" s="10">
        <f>F67-I67</f>
        <v/>
      </c>
      <c r="X67" s="10">
        <f>IF(F67=0,0,H67*W67/F67)</f>
        <v/>
      </c>
      <c r="Y67" s="10">
        <f>V67*W67</f>
        <v/>
      </c>
      <c r="Z67" s="10">
        <f>W67-X67</f>
        <v/>
      </c>
      <c r="AA67" s="10">
        <f>SUMIFS(calc_payments!$N$2:$N$77,calc_payments!$B$2:$B$77,A67)</f>
        <v/>
      </c>
      <c r="AB67" s="10">
        <f>AA67-Z67</f>
        <v/>
      </c>
      <c r="AC67" s="9">
        <f>IF(T67=0,"",IF(AA67=0,IF(Z67=0,"нечего получать","нет платежа"),IF(ABS(AB67)&lt;1,"сходится","расхождение")))</f>
        <v/>
      </c>
      <c r="AD67" s="9">
        <f>MAX(0,MIN(D67,Dashboard!$C$6+1)-MAX(C67,Dashboard!$C$5))</f>
        <v/>
      </c>
      <c r="AE67" s="26">
        <f>IF(K67=0,0,AD67/K67)*T67</f>
        <v/>
      </c>
      <c r="AF67" s="10">
        <f>F67*AE67</f>
        <v/>
      </c>
      <c r="AG67" s="10">
        <f>I67*AE67</f>
        <v/>
      </c>
      <c r="AH67" s="10">
        <f>W67*AE67</f>
        <v/>
      </c>
      <c r="AI67" s="10">
        <f>X67*AE67</f>
        <v/>
      </c>
      <c r="AJ67" s="10">
        <f>Y67*AE67</f>
        <v/>
      </c>
      <c r="AK67" s="9">
        <f>IF(AND(T67=1,AD67&gt;0),1,0)</f>
        <v/>
      </c>
      <c r="AL67" s="10">
        <f>Z67*AK67</f>
        <v/>
      </c>
      <c r="AM67" s="10">
        <f>AA67*AK67</f>
        <v/>
      </c>
      <c r="AN67" s="9">
        <f>AD67*T67</f>
        <v/>
      </c>
      <c r="AO67" s="9">
        <f>S67*AK67</f>
        <v/>
      </c>
    </row>
    <row r="68">
      <c r="A68" s="9">
        <f>raw_reservations!A68</f>
        <v/>
      </c>
      <c r="B68" s="9">
        <f>raw_reservations!B68</f>
        <v/>
      </c>
      <c r="C68" s="24">
        <f>raw_reservations!C68</f>
        <v/>
      </c>
      <c r="D68" s="24">
        <f>raw_reservations!D68</f>
        <v/>
      </c>
      <c r="E68" s="9">
        <f>raw_reservations!E68</f>
        <v/>
      </c>
      <c r="F68" s="10">
        <f>raw_reservations!F68</f>
        <v/>
      </c>
      <c r="G68" s="9">
        <f>raw_reservations!G68</f>
        <v/>
      </c>
      <c r="H68" s="10">
        <f>raw_reservations!H68</f>
        <v/>
      </c>
      <c r="I68" s="10">
        <f>raw_reservations!I68</f>
        <v/>
      </c>
      <c r="J68" s="9">
        <f>raw_reservations!J68</f>
        <v/>
      </c>
      <c r="K68" s="9">
        <f>D68-C68</f>
        <v/>
      </c>
      <c r="L68" s="9">
        <f>IF(COUNTIF(A$2:A68,A68)&gt;1,1,0)</f>
        <v/>
      </c>
      <c r="M68" s="9">
        <f>IF(COUNTIF(properties!$A$2:$A$21,B68)=0,1,0)</f>
        <v/>
      </c>
      <c r="N68" s="9">
        <f>IF(M68=1,0,IF(G68&lt;&gt;INDEX(properties!$E$2:$E$21,MATCH(B68,properties!$A$2:$A$21,0)),1,0))</f>
        <v/>
      </c>
      <c r="O68" s="9">
        <f>IF(OR(I68&gt;F68,AND(E68&lt;&gt;"cancelled",I68&gt;0)),1,0)</f>
        <v/>
      </c>
      <c r="P68" s="9">
        <f>IF(H68&lt;0,1,0)</f>
        <v/>
      </c>
      <c r="Q68" s="9">
        <f>IF(L68+M68+N68+O68=0,1,0)</f>
        <v/>
      </c>
      <c r="R68" s="9">
        <f>IF(AND(Q68=1,E68&lt;&gt;"cancelled"),COUNTIFS($B$2:$B$152,B68,$Q$2:$Q$152,1,$E$2:$E$152,"&lt;&gt;cancelled",$C$2:$C$152,"&lt;"&amp;D68,$D$2:$D$152,"&gt;"&amp;C68)-1,0)</f>
        <v/>
      </c>
      <c r="S68" s="9">
        <f>IF(AND(Q68=1,OR(R68&gt;0,P68=1)),1,0)</f>
        <v/>
      </c>
      <c r="T68" s="9">
        <f>IF(Q68=0,0,IF(AND(S68=1,Dashboard!$C$7="Нет"),0,1))</f>
        <v/>
      </c>
      <c r="U68" s="9">
        <f>IF(L68=1,"Исключено: дубль",IF(M68=1,"Исключено: нет объекта",IF(N68=1,"Исключено: валюта",IF(O68=1,"Исключено: возврат/статус",IF(S68=1,"На проверке","OK")))))</f>
        <v/>
      </c>
      <c r="V68" s="25">
        <f>SUMIFS(commission_rules!$D$2:$D$21,commission_rules!$A$2:$A$21,B68,commission_rules!$B$2:$B$21,"&lt;="&amp;C68,commission_rules!$C$2:$C$21,"&gt;="&amp;C68)</f>
        <v/>
      </c>
      <c r="W68" s="10">
        <f>F68-I68</f>
        <v/>
      </c>
      <c r="X68" s="10">
        <f>IF(F68=0,0,H68*W68/F68)</f>
        <v/>
      </c>
      <c r="Y68" s="10">
        <f>V68*W68</f>
        <v/>
      </c>
      <c r="Z68" s="10">
        <f>W68-X68</f>
        <v/>
      </c>
      <c r="AA68" s="10">
        <f>SUMIFS(calc_payments!$N$2:$N$77,calc_payments!$B$2:$B$77,A68)</f>
        <v/>
      </c>
      <c r="AB68" s="10">
        <f>AA68-Z68</f>
        <v/>
      </c>
      <c r="AC68" s="9">
        <f>IF(T68=0,"",IF(AA68=0,IF(Z68=0,"нечего получать","нет платежа"),IF(ABS(AB68)&lt;1,"сходится","расхождение")))</f>
        <v/>
      </c>
      <c r="AD68" s="9">
        <f>MAX(0,MIN(D68,Dashboard!$C$6+1)-MAX(C68,Dashboard!$C$5))</f>
        <v/>
      </c>
      <c r="AE68" s="26">
        <f>IF(K68=0,0,AD68/K68)*T68</f>
        <v/>
      </c>
      <c r="AF68" s="10">
        <f>F68*AE68</f>
        <v/>
      </c>
      <c r="AG68" s="10">
        <f>I68*AE68</f>
        <v/>
      </c>
      <c r="AH68" s="10">
        <f>W68*AE68</f>
        <v/>
      </c>
      <c r="AI68" s="10">
        <f>X68*AE68</f>
        <v/>
      </c>
      <c r="AJ68" s="10">
        <f>Y68*AE68</f>
        <v/>
      </c>
      <c r="AK68" s="9">
        <f>IF(AND(T68=1,AD68&gt;0),1,0)</f>
        <v/>
      </c>
      <c r="AL68" s="10">
        <f>Z68*AK68</f>
        <v/>
      </c>
      <c r="AM68" s="10">
        <f>AA68*AK68</f>
        <v/>
      </c>
      <c r="AN68" s="9">
        <f>AD68*T68</f>
        <v/>
      </c>
      <c r="AO68" s="9">
        <f>S68*AK68</f>
        <v/>
      </c>
    </row>
    <row r="69">
      <c r="A69" s="9">
        <f>raw_reservations!A69</f>
        <v/>
      </c>
      <c r="B69" s="9">
        <f>raw_reservations!B69</f>
        <v/>
      </c>
      <c r="C69" s="24">
        <f>raw_reservations!C69</f>
        <v/>
      </c>
      <c r="D69" s="24">
        <f>raw_reservations!D69</f>
        <v/>
      </c>
      <c r="E69" s="9">
        <f>raw_reservations!E69</f>
        <v/>
      </c>
      <c r="F69" s="10">
        <f>raw_reservations!F69</f>
        <v/>
      </c>
      <c r="G69" s="9">
        <f>raw_reservations!G69</f>
        <v/>
      </c>
      <c r="H69" s="10">
        <f>raw_reservations!H69</f>
        <v/>
      </c>
      <c r="I69" s="10">
        <f>raw_reservations!I69</f>
        <v/>
      </c>
      <c r="J69" s="9">
        <f>raw_reservations!J69</f>
        <v/>
      </c>
      <c r="K69" s="9">
        <f>D69-C69</f>
        <v/>
      </c>
      <c r="L69" s="9">
        <f>IF(COUNTIF(A$2:A69,A69)&gt;1,1,0)</f>
        <v/>
      </c>
      <c r="M69" s="9">
        <f>IF(COUNTIF(properties!$A$2:$A$21,B69)=0,1,0)</f>
        <v/>
      </c>
      <c r="N69" s="9">
        <f>IF(M69=1,0,IF(G69&lt;&gt;INDEX(properties!$E$2:$E$21,MATCH(B69,properties!$A$2:$A$21,0)),1,0))</f>
        <v/>
      </c>
      <c r="O69" s="9">
        <f>IF(OR(I69&gt;F69,AND(E69&lt;&gt;"cancelled",I69&gt;0)),1,0)</f>
        <v/>
      </c>
      <c r="P69" s="9">
        <f>IF(H69&lt;0,1,0)</f>
        <v/>
      </c>
      <c r="Q69" s="9">
        <f>IF(L69+M69+N69+O69=0,1,0)</f>
        <v/>
      </c>
      <c r="R69" s="9">
        <f>IF(AND(Q69=1,E69&lt;&gt;"cancelled"),COUNTIFS($B$2:$B$152,B69,$Q$2:$Q$152,1,$E$2:$E$152,"&lt;&gt;cancelled",$C$2:$C$152,"&lt;"&amp;D69,$D$2:$D$152,"&gt;"&amp;C69)-1,0)</f>
        <v/>
      </c>
      <c r="S69" s="9">
        <f>IF(AND(Q69=1,OR(R69&gt;0,P69=1)),1,0)</f>
        <v/>
      </c>
      <c r="T69" s="9">
        <f>IF(Q69=0,0,IF(AND(S69=1,Dashboard!$C$7="Нет"),0,1))</f>
        <v/>
      </c>
      <c r="U69" s="9">
        <f>IF(L69=1,"Исключено: дубль",IF(M69=1,"Исключено: нет объекта",IF(N69=1,"Исключено: валюта",IF(O69=1,"Исключено: возврат/статус",IF(S69=1,"На проверке","OK")))))</f>
        <v/>
      </c>
      <c r="V69" s="25">
        <f>SUMIFS(commission_rules!$D$2:$D$21,commission_rules!$A$2:$A$21,B69,commission_rules!$B$2:$B$21,"&lt;="&amp;C69,commission_rules!$C$2:$C$21,"&gt;="&amp;C69)</f>
        <v/>
      </c>
      <c r="W69" s="10">
        <f>F69-I69</f>
        <v/>
      </c>
      <c r="X69" s="10">
        <f>IF(F69=0,0,H69*W69/F69)</f>
        <v/>
      </c>
      <c r="Y69" s="10">
        <f>V69*W69</f>
        <v/>
      </c>
      <c r="Z69" s="10">
        <f>W69-X69</f>
        <v/>
      </c>
      <c r="AA69" s="10">
        <f>SUMIFS(calc_payments!$N$2:$N$77,calc_payments!$B$2:$B$77,A69)</f>
        <v/>
      </c>
      <c r="AB69" s="10">
        <f>AA69-Z69</f>
        <v/>
      </c>
      <c r="AC69" s="9">
        <f>IF(T69=0,"",IF(AA69=0,IF(Z69=0,"нечего получать","нет платежа"),IF(ABS(AB69)&lt;1,"сходится","расхождение")))</f>
        <v/>
      </c>
      <c r="AD69" s="9">
        <f>MAX(0,MIN(D69,Dashboard!$C$6+1)-MAX(C69,Dashboard!$C$5))</f>
        <v/>
      </c>
      <c r="AE69" s="26">
        <f>IF(K69=0,0,AD69/K69)*T69</f>
        <v/>
      </c>
      <c r="AF69" s="10">
        <f>F69*AE69</f>
        <v/>
      </c>
      <c r="AG69" s="10">
        <f>I69*AE69</f>
        <v/>
      </c>
      <c r="AH69" s="10">
        <f>W69*AE69</f>
        <v/>
      </c>
      <c r="AI69" s="10">
        <f>X69*AE69</f>
        <v/>
      </c>
      <c r="AJ69" s="10">
        <f>Y69*AE69</f>
        <v/>
      </c>
      <c r="AK69" s="9">
        <f>IF(AND(T69=1,AD69&gt;0),1,0)</f>
        <v/>
      </c>
      <c r="AL69" s="10">
        <f>Z69*AK69</f>
        <v/>
      </c>
      <c r="AM69" s="10">
        <f>AA69*AK69</f>
        <v/>
      </c>
      <c r="AN69" s="9">
        <f>AD69*T69</f>
        <v/>
      </c>
      <c r="AO69" s="9">
        <f>S69*AK69</f>
        <v/>
      </c>
    </row>
    <row r="70">
      <c r="A70" s="9">
        <f>raw_reservations!A70</f>
        <v/>
      </c>
      <c r="B70" s="9">
        <f>raw_reservations!B70</f>
        <v/>
      </c>
      <c r="C70" s="24">
        <f>raw_reservations!C70</f>
        <v/>
      </c>
      <c r="D70" s="24">
        <f>raw_reservations!D70</f>
        <v/>
      </c>
      <c r="E70" s="9">
        <f>raw_reservations!E70</f>
        <v/>
      </c>
      <c r="F70" s="10">
        <f>raw_reservations!F70</f>
        <v/>
      </c>
      <c r="G70" s="9">
        <f>raw_reservations!G70</f>
        <v/>
      </c>
      <c r="H70" s="10">
        <f>raw_reservations!H70</f>
        <v/>
      </c>
      <c r="I70" s="10">
        <f>raw_reservations!I70</f>
        <v/>
      </c>
      <c r="J70" s="9">
        <f>raw_reservations!J70</f>
        <v/>
      </c>
      <c r="K70" s="9">
        <f>D70-C70</f>
        <v/>
      </c>
      <c r="L70" s="9">
        <f>IF(COUNTIF(A$2:A70,A70)&gt;1,1,0)</f>
        <v/>
      </c>
      <c r="M70" s="9">
        <f>IF(COUNTIF(properties!$A$2:$A$21,B70)=0,1,0)</f>
        <v/>
      </c>
      <c r="N70" s="9">
        <f>IF(M70=1,0,IF(G70&lt;&gt;INDEX(properties!$E$2:$E$21,MATCH(B70,properties!$A$2:$A$21,0)),1,0))</f>
        <v/>
      </c>
      <c r="O70" s="9">
        <f>IF(OR(I70&gt;F70,AND(E70&lt;&gt;"cancelled",I70&gt;0)),1,0)</f>
        <v/>
      </c>
      <c r="P70" s="9">
        <f>IF(H70&lt;0,1,0)</f>
        <v/>
      </c>
      <c r="Q70" s="9">
        <f>IF(L70+M70+N70+O70=0,1,0)</f>
        <v/>
      </c>
      <c r="R70" s="9">
        <f>IF(AND(Q70=1,E70&lt;&gt;"cancelled"),COUNTIFS($B$2:$B$152,B70,$Q$2:$Q$152,1,$E$2:$E$152,"&lt;&gt;cancelled",$C$2:$C$152,"&lt;"&amp;D70,$D$2:$D$152,"&gt;"&amp;C70)-1,0)</f>
        <v/>
      </c>
      <c r="S70" s="9">
        <f>IF(AND(Q70=1,OR(R70&gt;0,P70=1)),1,0)</f>
        <v/>
      </c>
      <c r="T70" s="9">
        <f>IF(Q70=0,0,IF(AND(S70=1,Dashboard!$C$7="Нет"),0,1))</f>
        <v/>
      </c>
      <c r="U70" s="9">
        <f>IF(L70=1,"Исключено: дубль",IF(M70=1,"Исключено: нет объекта",IF(N70=1,"Исключено: валюта",IF(O70=1,"Исключено: возврат/статус",IF(S70=1,"На проверке","OK")))))</f>
        <v/>
      </c>
      <c r="V70" s="25">
        <f>SUMIFS(commission_rules!$D$2:$D$21,commission_rules!$A$2:$A$21,B70,commission_rules!$B$2:$B$21,"&lt;="&amp;C70,commission_rules!$C$2:$C$21,"&gt;="&amp;C70)</f>
        <v/>
      </c>
      <c r="W70" s="10">
        <f>F70-I70</f>
        <v/>
      </c>
      <c r="X70" s="10">
        <f>IF(F70=0,0,H70*W70/F70)</f>
        <v/>
      </c>
      <c r="Y70" s="10">
        <f>V70*W70</f>
        <v/>
      </c>
      <c r="Z70" s="10">
        <f>W70-X70</f>
        <v/>
      </c>
      <c r="AA70" s="10">
        <f>SUMIFS(calc_payments!$N$2:$N$77,calc_payments!$B$2:$B$77,A70)</f>
        <v/>
      </c>
      <c r="AB70" s="10">
        <f>AA70-Z70</f>
        <v/>
      </c>
      <c r="AC70" s="9">
        <f>IF(T70=0,"",IF(AA70=0,IF(Z70=0,"нечего получать","нет платежа"),IF(ABS(AB70)&lt;1,"сходится","расхождение")))</f>
        <v/>
      </c>
      <c r="AD70" s="9">
        <f>MAX(0,MIN(D70,Dashboard!$C$6+1)-MAX(C70,Dashboard!$C$5))</f>
        <v/>
      </c>
      <c r="AE70" s="26">
        <f>IF(K70=0,0,AD70/K70)*T70</f>
        <v/>
      </c>
      <c r="AF70" s="10">
        <f>F70*AE70</f>
        <v/>
      </c>
      <c r="AG70" s="10">
        <f>I70*AE70</f>
        <v/>
      </c>
      <c r="AH70" s="10">
        <f>W70*AE70</f>
        <v/>
      </c>
      <c r="AI70" s="10">
        <f>X70*AE70</f>
        <v/>
      </c>
      <c r="AJ70" s="10">
        <f>Y70*AE70</f>
        <v/>
      </c>
      <c r="AK70" s="9">
        <f>IF(AND(T70=1,AD70&gt;0),1,0)</f>
        <v/>
      </c>
      <c r="AL70" s="10">
        <f>Z70*AK70</f>
        <v/>
      </c>
      <c r="AM70" s="10">
        <f>AA70*AK70</f>
        <v/>
      </c>
      <c r="AN70" s="9">
        <f>AD70*T70</f>
        <v/>
      </c>
      <c r="AO70" s="9">
        <f>S70*AK70</f>
        <v/>
      </c>
    </row>
    <row r="71">
      <c r="A71" s="9">
        <f>raw_reservations!A71</f>
        <v/>
      </c>
      <c r="B71" s="9">
        <f>raw_reservations!B71</f>
        <v/>
      </c>
      <c r="C71" s="24">
        <f>raw_reservations!C71</f>
        <v/>
      </c>
      <c r="D71" s="24">
        <f>raw_reservations!D71</f>
        <v/>
      </c>
      <c r="E71" s="9">
        <f>raw_reservations!E71</f>
        <v/>
      </c>
      <c r="F71" s="10">
        <f>raw_reservations!F71</f>
        <v/>
      </c>
      <c r="G71" s="9">
        <f>raw_reservations!G71</f>
        <v/>
      </c>
      <c r="H71" s="10">
        <f>raw_reservations!H71</f>
        <v/>
      </c>
      <c r="I71" s="10">
        <f>raw_reservations!I71</f>
        <v/>
      </c>
      <c r="J71" s="9">
        <f>raw_reservations!J71</f>
        <v/>
      </c>
      <c r="K71" s="9">
        <f>D71-C71</f>
        <v/>
      </c>
      <c r="L71" s="9">
        <f>IF(COUNTIF(A$2:A71,A71)&gt;1,1,0)</f>
        <v/>
      </c>
      <c r="M71" s="9">
        <f>IF(COUNTIF(properties!$A$2:$A$21,B71)=0,1,0)</f>
        <v/>
      </c>
      <c r="N71" s="9">
        <f>IF(M71=1,0,IF(G71&lt;&gt;INDEX(properties!$E$2:$E$21,MATCH(B71,properties!$A$2:$A$21,0)),1,0))</f>
        <v/>
      </c>
      <c r="O71" s="9">
        <f>IF(OR(I71&gt;F71,AND(E71&lt;&gt;"cancelled",I71&gt;0)),1,0)</f>
        <v/>
      </c>
      <c r="P71" s="9">
        <f>IF(H71&lt;0,1,0)</f>
        <v/>
      </c>
      <c r="Q71" s="9">
        <f>IF(L71+M71+N71+O71=0,1,0)</f>
        <v/>
      </c>
      <c r="R71" s="9">
        <f>IF(AND(Q71=1,E71&lt;&gt;"cancelled"),COUNTIFS($B$2:$B$152,B71,$Q$2:$Q$152,1,$E$2:$E$152,"&lt;&gt;cancelled",$C$2:$C$152,"&lt;"&amp;D71,$D$2:$D$152,"&gt;"&amp;C71)-1,0)</f>
        <v/>
      </c>
      <c r="S71" s="9">
        <f>IF(AND(Q71=1,OR(R71&gt;0,P71=1)),1,0)</f>
        <v/>
      </c>
      <c r="T71" s="9">
        <f>IF(Q71=0,0,IF(AND(S71=1,Dashboard!$C$7="Нет"),0,1))</f>
        <v/>
      </c>
      <c r="U71" s="9">
        <f>IF(L71=1,"Исключено: дубль",IF(M71=1,"Исключено: нет объекта",IF(N71=1,"Исключено: валюта",IF(O71=1,"Исключено: возврат/статус",IF(S71=1,"На проверке","OK")))))</f>
        <v/>
      </c>
      <c r="V71" s="25">
        <f>SUMIFS(commission_rules!$D$2:$D$21,commission_rules!$A$2:$A$21,B71,commission_rules!$B$2:$B$21,"&lt;="&amp;C71,commission_rules!$C$2:$C$21,"&gt;="&amp;C71)</f>
        <v/>
      </c>
      <c r="W71" s="10">
        <f>F71-I71</f>
        <v/>
      </c>
      <c r="X71" s="10">
        <f>IF(F71=0,0,H71*W71/F71)</f>
        <v/>
      </c>
      <c r="Y71" s="10">
        <f>V71*W71</f>
        <v/>
      </c>
      <c r="Z71" s="10">
        <f>W71-X71</f>
        <v/>
      </c>
      <c r="AA71" s="10">
        <f>SUMIFS(calc_payments!$N$2:$N$77,calc_payments!$B$2:$B$77,A71)</f>
        <v/>
      </c>
      <c r="AB71" s="10">
        <f>AA71-Z71</f>
        <v/>
      </c>
      <c r="AC71" s="9">
        <f>IF(T71=0,"",IF(AA71=0,IF(Z71=0,"нечего получать","нет платежа"),IF(ABS(AB71)&lt;1,"сходится","расхождение")))</f>
        <v/>
      </c>
      <c r="AD71" s="9">
        <f>MAX(0,MIN(D71,Dashboard!$C$6+1)-MAX(C71,Dashboard!$C$5))</f>
        <v/>
      </c>
      <c r="AE71" s="26">
        <f>IF(K71=0,0,AD71/K71)*T71</f>
        <v/>
      </c>
      <c r="AF71" s="10">
        <f>F71*AE71</f>
        <v/>
      </c>
      <c r="AG71" s="10">
        <f>I71*AE71</f>
        <v/>
      </c>
      <c r="AH71" s="10">
        <f>W71*AE71</f>
        <v/>
      </c>
      <c r="AI71" s="10">
        <f>X71*AE71</f>
        <v/>
      </c>
      <c r="AJ71" s="10">
        <f>Y71*AE71</f>
        <v/>
      </c>
      <c r="AK71" s="9">
        <f>IF(AND(T71=1,AD71&gt;0),1,0)</f>
        <v/>
      </c>
      <c r="AL71" s="10">
        <f>Z71*AK71</f>
        <v/>
      </c>
      <c r="AM71" s="10">
        <f>AA71*AK71</f>
        <v/>
      </c>
      <c r="AN71" s="9">
        <f>AD71*T71</f>
        <v/>
      </c>
      <c r="AO71" s="9">
        <f>S71*AK71</f>
        <v/>
      </c>
    </row>
    <row r="72">
      <c r="A72" s="9">
        <f>raw_reservations!A72</f>
        <v/>
      </c>
      <c r="B72" s="9">
        <f>raw_reservations!B72</f>
        <v/>
      </c>
      <c r="C72" s="24">
        <f>raw_reservations!C72</f>
        <v/>
      </c>
      <c r="D72" s="24">
        <f>raw_reservations!D72</f>
        <v/>
      </c>
      <c r="E72" s="9">
        <f>raw_reservations!E72</f>
        <v/>
      </c>
      <c r="F72" s="10">
        <f>raw_reservations!F72</f>
        <v/>
      </c>
      <c r="G72" s="9">
        <f>raw_reservations!G72</f>
        <v/>
      </c>
      <c r="H72" s="10">
        <f>raw_reservations!H72</f>
        <v/>
      </c>
      <c r="I72" s="10">
        <f>raw_reservations!I72</f>
        <v/>
      </c>
      <c r="J72" s="9">
        <f>raw_reservations!J72</f>
        <v/>
      </c>
      <c r="K72" s="9">
        <f>D72-C72</f>
        <v/>
      </c>
      <c r="L72" s="9">
        <f>IF(COUNTIF(A$2:A72,A72)&gt;1,1,0)</f>
        <v/>
      </c>
      <c r="M72" s="9">
        <f>IF(COUNTIF(properties!$A$2:$A$21,B72)=0,1,0)</f>
        <v/>
      </c>
      <c r="N72" s="9">
        <f>IF(M72=1,0,IF(G72&lt;&gt;INDEX(properties!$E$2:$E$21,MATCH(B72,properties!$A$2:$A$21,0)),1,0))</f>
        <v/>
      </c>
      <c r="O72" s="9">
        <f>IF(OR(I72&gt;F72,AND(E72&lt;&gt;"cancelled",I72&gt;0)),1,0)</f>
        <v/>
      </c>
      <c r="P72" s="9">
        <f>IF(H72&lt;0,1,0)</f>
        <v/>
      </c>
      <c r="Q72" s="9">
        <f>IF(L72+M72+N72+O72=0,1,0)</f>
        <v/>
      </c>
      <c r="R72" s="9">
        <f>IF(AND(Q72=1,E72&lt;&gt;"cancelled"),COUNTIFS($B$2:$B$152,B72,$Q$2:$Q$152,1,$E$2:$E$152,"&lt;&gt;cancelled",$C$2:$C$152,"&lt;"&amp;D72,$D$2:$D$152,"&gt;"&amp;C72)-1,0)</f>
        <v/>
      </c>
      <c r="S72" s="9">
        <f>IF(AND(Q72=1,OR(R72&gt;0,P72=1)),1,0)</f>
        <v/>
      </c>
      <c r="T72" s="9">
        <f>IF(Q72=0,0,IF(AND(S72=1,Dashboard!$C$7="Нет"),0,1))</f>
        <v/>
      </c>
      <c r="U72" s="9">
        <f>IF(L72=1,"Исключено: дубль",IF(M72=1,"Исключено: нет объекта",IF(N72=1,"Исключено: валюта",IF(O72=1,"Исключено: возврат/статус",IF(S72=1,"На проверке","OK")))))</f>
        <v/>
      </c>
      <c r="V72" s="25">
        <f>SUMIFS(commission_rules!$D$2:$D$21,commission_rules!$A$2:$A$21,B72,commission_rules!$B$2:$B$21,"&lt;="&amp;C72,commission_rules!$C$2:$C$21,"&gt;="&amp;C72)</f>
        <v/>
      </c>
      <c r="W72" s="10">
        <f>F72-I72</f>
        <v/>
      </c>
      <c r="X72" s="10">
        <f>IF(F72=0,0,H72*W72/F72)</f>
        <v/>
      </c>
      <c r="Y72" s="10">
        <f>V72*W72</f>
        <v/>
      </c>
      <c r="Z72" s="10">
        <f>W72-X72</f>
        <v/>
      </c>
      <c r="AA72" s="10">
        <f>SUMIFS(calc_payments!$N$2:$N$77,calc_payments!$B$2:$B$77,A72)</f>
        <v/>
      </c>
      <c r="AB72" s="10">
        <f>AA72-Z72</f>
        <v/>
      </c>
      <c r="AC72" s="9">
        <f>IF(T72=0,"",IF(AA72=0,IF(Z72=0,"нечего получать","нет платежа"),IF(ABS(AB72)&lt;1,"сходится","расхождение")))</f>
        <v/>
      </c>
      <c r="AD72" s="9">
        <f>MAX(0,MIN(D72,Dashboard!$C$6+1)-MAX(C72,Dashboard!$C$5))</f>
        <v/>
      </c>
      <c r="AE72" s="26">
        <f>IF(K72=0,0,AD72/K72)*T72</f>
        <v/>
      </c>
      <c r="AF72" s="10">
        <f>F72*AE72</f>
        <v/>
      </c>
      <c r="AG72" s="10">
        <f>I72*AE72</f>
        <v/>
      </c>
      <c r="AH72" s="10">
        <f>W72*AE72</f>
        <v/>
      </c>
      <c r="AI72" s="10">
        <f>X72*AE72</f>
        <v/>
      </c>
      <c r="AJ72" s="10">
        <f>Y72*AE72</f>
        <v/>
      </c>
      <c r="AK72" s="9">
        <f>IF(AND(T72=1,AD72&gt;0),1,0)</f>
        <v/>
      </c>
      <c r="AL72" s="10">
        <f>Z72*AK72</f>
        <v/>
      </c>
      <c r="AM72" s="10">
        <f>AA72*AK72</f>
        <v/>
      </c>
      <c r="AN72" s="9">
        <f>AD72*T72</f>
        <v/>
      </c>
      <c r="AO72" s="9">
        <f>S72*AK72</f>
        <v/>
      </c>
    </row>
    <row r="73">
      <c r="A73" s="9">
        <f>raw_reservations!A73</f>
        <v/>
      </c>
      <c r="B73" s="9">
        <f>raw_reservations!B73</f>
        <v/>
      </c>
      <c r="C73" s="24">
        <f>raw_reservations!C73</f>
        <v/>
      </c>
      <c r="D73" s="24">
        <f>raw_reservations!D73</f>
        <v/>
      </c>
      <c r="E73" s="9">
        <f>raw_reservations!E73</f>
        <v/>
      </c>
      <c r="F73" s="10">
        <f>raw_reservations!F73</f>
        <v/>
      </c>
      <c r="G73" s="9">
        <f>raw_reservations!G73</f>
        <v/>
      </c>
      <c r="H73" s="10">
        <f>raw_reservations!H73</f>
        <v/>
      </c>
      <c r="I73" s="10">
        <f>raw_reservations!I73</f>
        <v/>
      </c>
      <c r="J73" s="9">
        <f>raw_reservations!J73</f>
        <v/>
      </c>
      <c r="K73" s="9">
        <f>D73-C73</f>
        <v/>
      </c>
      <c r="L73" s="9">
        <f>IF(COUNTIF(A$2:A73,A73)&gt;1,1,0)</f>
        <v/>
      </c>
      <c r="M73" s="9">
        <f>IF(COUNTIF(properties!$A$2:$A$21,B73)=0,1,0)</f>
        <v/>
      </c>
      <c r="N73" s="9">
        <f>IF(M73=1,0,IF(G73&lt;&gt;INDEX(properties!$E$2:$E$21,MATCH(B73,properties!$A$2:$A$21,0)),1,0))</f>
        <v/>
      </c>
      <c r="O73" s="9">
        <f>IF(OR(I73&gt;F73,AND(E73&lt;&gt;"cancelled",I73&gt;0)),1,0)</f>
        <v/>
      </c>
      <c r="P73" s="9">
        <f>IF(H73&lt;0,1,0)</f>
        <v/>
      </c>
      <c r="Q73" s="9">
        <f>IF(L73+M73+N73+O73=0,1,0)</f>
        <v/>
      </c>
      <c r="R73" s="9">
        <f>IF(AND(Q73=1,E73&lt;&gt;"cancelled"),COUNTIFS($B$2:$B$152,B73,$Q$2:$Q$152,1,$E$2:$E$152,"&lt;&gt;cancelled",$C$2:$C$152,"&lt;"&amp;D73,$D$2:$D$152,"&gt;"&amp;C73)-1,0)</f>
        <v/>
      </c>
      <c r="S73" s="9">
        <f>IF(AND(Q73=1,OR(R73&gt;0,P73=1)),1,0)</f>
        <v/>
      </c>
      <c r="T73" s="9">
        <f>IF(Q73=0,0,IF(AND(S73=1,Dashboard!$C$7="Нет"),0,1))</f>
        <v/>
      </c>
      <c r="U73" s="9">
        <f>IF(L73=1,"Исключено: дубль",IF(M73=1,"Исключено: нет объекта",IF(N73=1,"Исключено: валюта",IF(O73=1,"Исключено: возврат/статус",IF(S73=1,"На проверке","OK")))))</f>
        <v/>
      </c>
      <c r="V73" s="25">
        <f>SUMIFS(commission_rules!$D$2:$D$21,commission_rules!$A$2:$A$21,B73,commission_rules!$B$2:$B$21,"&lt;="&amp;C73,commission_rules!$C$2:$C$21,"&gt;="&amp;C73)</f>
        <v/>
      </c>
      <c r="W73" s="10">
        <f>F73-I73</f>
        <v/>
      </c>
      <c r="X73" s="10">
        <f>IF(F73=0,0,H73*W73/F73)</f>
        <v/>
      </c>
      <c r="Y73" s="10">
        <f>V73*W73</f>
        <v/>
      </c>
      <c r="Z73" s="10">
        <f>W73-X73</f>
        <v/>
      </c>
      <c r="AA73" s="10">
        <f>SUMIFS(calc_payments!$N$2:$N$77,calc_payments!$B$2:$B$77,A73)</f>
        <v/>
      </c>
      <c r="AB73" s="10">
        <f>AA73-Z73</f>
        <v/>
      </c>
      <c r="AC73" s="9">
        <f>IF(T73=0,"",IF(AA73=0,IF(Z73=0,"нечего получать","нет платежа"),IF(ABS(AB73)&lt;1,"сходится","расхождение")))</f>
        <v/>
      </c>
      <c r="AD73" s="9">
        <f>MAX(0,MIN(D73,Dashboard!$C$6+1)-MAX(C73,Dashboard!$C$5))</f>
        <v/>
      </c>
      <c r="AE73" s="26">
        <f>IF(K73=0,0,AD73/K73)*T73</f>
        <v/>
      </c>
      <c r="AF73" s="10">
        <f>F73*AE73</f>
        <v/>
      </c>
      <c r="AG73" s="10">
        <f>I73*AE73</f>
        <v/>
      </c>
      <c r="AH73" s="10">
        <f>W73*AE73</f>
        <v/>
      </c>
      <c r="AI73" s="10">
        <f>X73*AE73</f>
        <v/>
      </c>
      <c r="AJ73" s="10">
        <f>Y73*AE73</f>
        <v/>
      </c>
      <c r="AK73" s="9">
        <f>IF(AND(T73=1,AD73&gt;0),1,0)</f>
        <v/>
      </c>
      <c r="AL73" s="10">
        <f>Z73*AK73</f>
        <v/>
      </c>
      <c r="AM73" s="10">
        <f>AA73*AK73</f>
        <v/>
      </c>
      <c r="AN73" s="9">
        <f>AD73*T73</f>
        <v/>
      </c>
      <c r="AO73" s="9">
        <f>S73*AK73</f>
        <v/>
      </c>
    </row>
    <row r="74">
      <c r="A74" s="9">
        <f>raw_reservations!A74</f>
        <v/>
      </c>
      <c r="B74" s="9">
        <f>raw_reservations!B74</f>
        <v/>
      </c>
      <c r="C74" s="24">
        <f>raw_reservations!C74</f>
        <v/>
      </c>
      <c r="D74" s="24">
        <f>raw_reservations!D74</f>
        <v/>
      </c>
      <c r="E74" s="9">
        <f>raw_reservations!E74</f>
        <v/>
      </c>
      <c r="F74" s="10">
        <f>raw_reservations!F74</f>
        <v/>
      </c>
      <c r="G74" s="9">
        <f>raw_reservations!G74</f>
        <v/>
      </c>
      <c r="H74" s="10">
        <f>raw_reservations!H74</f>
        <v/>
      </c>
      <c r="I74" s="10">
        <f>raw_reservations!I74</f>
        <v/>
      </c>
      <c r="J74" s="9">
        <f>raw_reservations!J74</f>
        <v/>
      </c>
      <c r="K74" s="9">
        <f>D74-C74</f>
        <v/>
      </c>
      <c r="L74" s="9">
        <f>IF(COUNTIF(A$2:A74,A74)&gt;1,1,0)</f>
        <v/>
      </c>
      <c r="M74" s="9">
        <f>IF(COUNTIF(properties!$A$2:$A$21,B74)=0,1,0)</f>
        <v/>
      </c>
      <c r="N74" s="9">
        <f>IF(M74=1,0,IF(G74&lt;&gt;INDEX(properties!$E$2:$E$21,MATCH(B74,properties!$A$2:$A$21,0)),1,0))</f>
        <v/>
      </c>
      <c r="O74" s="9">
        <f>IF(OR(I74&gt;F74,AND(E74&lt;&gt;"cancelled",I74&gt;0)),1,0)</f>
        <v/>
      </c>
      <c r="P74" s="9">
        <f>IF(H74&lt;0,1,0)</f>
        <v/>
      </c>
      <c r="Q74" s="9">
        <f>IF(L74+M74+N74+O74=0,1,0)</f>
        <v/>
      </c>
      <c r="R74" s="9">
        <f>IF(AND(Q74=1,E74&lt;&gt;"cancelled"),COUNTIFS($B$2:$B$152,B74,$Q$2:$Q$152,1,$E$2:$E$152,"&lt;&gt;cancelled",$C$2:$C$152,"&lt;"&amp;D74,$D$2:$D$152,"&gt;"&amp;C74)-1,0)</f>
        <v/>
      </c>
      <c r="S74" s="9">
        <f>IF(AND(Q74=1,OR(R74&gt;0,P74=1)),1,0)</f>
        <v/>
      </c>
      <c r="T74" s="9">
        <f>IF(Q74=0,0,IF(AND(S74=1,Dashboard!$C$7="Нет"),0,1))</f>
        <v/>
      </c>
      <c r="U74" s="9">
        <f>IF(L74=1,"Исключено: дубль",IF(M74=1,"Исключено: нет объекта",IF(N74=1,"Исключено: валюта",IF(O74=1,"Исключено: возврат/статус",IF(S74=1,"На проверке","OK")))))</f>
        <v/>
      </c>
      <c r="V74" s="25">
        <f>SUMIFS(commission_rules!$D$2:$D$21,commission_rules!$A$2:$A$21,B74,commission_rules!$B$2:$B$21,"&lt;="&amp;C74,commission_rules!$C$2:$C$21,"&gt;="&amp;C74)</f>
        <v/>
      </c>
      <c r="W74" s="10">
        <f>F74-I74</f>
        <v/>
      </c>
      <c r="X74" s="10">
        <f>IF(F74=0,0,H74*W74/F74)</f>
        <v/>
      </c>
      <c r="Y74" s="10">
        <f>V74*W74</f>
        <v/>
      </c>
      <c r="Z74" s="10">
        <f>W74-X74</f>
        <v/>
      </c>
      <c r="AA74" s="10">
        <f>SUMIFS(calc_payments!$N$2:$N$77,calc_payments!$B$2:$B$77,A74)</f>
        <v/>
      </c>
      <c r="AB74" s="10">
        <f>AA74-Z74</f>
        <v/>
      </c>
      <c r="AC74" s="9">
        <f>IF(T74=0,"",IF(AA74=0,IF(Z74=0,"нечего получать","нет платежа"),IF(ABS(AB74)&lt;1,"сходится","расхождение")))</f>
        <v/>
      </c>
      <c r="AD74" s="9">
        <f>MAX(0,MIN(D74,Dashboard!$C$6+1)-MAX(C74,Dashboard!$C$5))</f>
        <v/>
      </c>
      <c r="AE74" s="26">
        <f>IF(K74=0,0,AD74/K74)*T74</f>
        <v/>
      </c>
      <c r="AF74" s="10">
        <f>F74*AE74</f>
        <v/>
      </c>
      <c r="AG74" s="10">
        <f>I74*AE74</f>
        <v/>
      </c>
      <c r="AH74" s="10">
        <f>W74*AE74</f>
        <v/>
      </c>
      <c r="AI74" s="10">
        <f>X74*AE74</f>
        <v/>
      </c>
      <c r="AJ74" s="10">
        <f>Y74*AE74</f>
        <v/>
      </c>
      <c r="AK74" s="9">
        <f>IF(AND(T74=1,AD74&gt;0),1,0)</f>
        <v/>
      </c>
      <c r="AL74" s="10">
        <f>Z74*AK74</f>
        <v/>
      </c>
      <c r="AM74" s="10">
        <f>AA74*AK74</f>
        <v/>
      </c>
      <c r="AN74" s="9">
        <f>AD74*T74</f>
        <v/>
      </c>
      <c r="AO74" s="9">
        <f>S74*AK74</f>
        <v/>
      </c>
    </row>
    <row r="75">
      <c r="A75" s="9">
        <f>raw_reservations!A75</f>
        <v/>
      </c>
      <c r="B75" s="9">
        <f>raw_reservations!B75</f>
        <v/>
      </c>
      <c r="C75" s="24">
        <f>raw_reservations!C75</f>
        <v/>
      </c>
      <c r="D75" s="24">
        <f>raw_reservations!D75</f>
        <v/>
      </c>
      <c r="E75" s="9">
        <f>raw_reservations!E75</f>
        <v/>
      </c>
      <c r="F75" s="10">
        <f>raw_reservations!F75</f>
        <v/>
      </c>
      <c r="G75" s="9">
        <f>raw_reservations!G75</f>
        <v/>
      </c>
      <c r="H75" s="10">
        <f>raw_reservations!H75</f>
        <v/>
      </c>
      <c r="I75" s="10">
        <f>raw_reservations!I75</f>
        <v/>
      </c>
      <c r="J75" s="9">
        <f>raw_reservations!J75</f>
        <v/>
      </c>
      <c r="K75" s="9">
        <f>D75-C75</f>
        <v/>
      </c>
      <c r="L75" s="9">
        <f>IF(COUNTIF(A$2:A75,A75)&gt;1,1,0)</f>
        <v/>
      </c>
      <c r="M75" s="9">
        <f>IF(COUNTIF(properties!$A$2:$A$21,B75)=0,1,0)</f>
        <v/>
      </c>
      <c r="N75" s="9">
        <f>IF(M75=1,0,IF(G75&lt;&gt;INDEX(properties!$E$2:$E$21,MATCH(B75,properties!$A$2:$A$21,0)),1,0))</f>
        <v/>
      </c>
      <c r="O75" s="9">
        <f>IF(OR(I75&gt;F75,AND(E75&lt;&gt;"cancelled",I75&gt;0)),1,0)</f>
        <v/>
      </c>
      <c r="P75" s="9">
        <f>IF(H75&lt;0,1,0)</f>
        <v/>
      </c>
      <c r="Q75" s="9">
        <f>IF(L75+M75+N75+O75=0,1,0)</f>
        <v/>
      </c>
      <c r="R75" s="9">
        <f>IF(AND(Q75=1,E75&lt;&gt;"cancelled"),COUNTIFS($B$2:$B$152,B75,$Q$2:$Q$152,1,$E$2:$E$152,"&lt;&gt;cancelled",$C$2:$C$152,"&lt;"&amp;D75,$D$2:$D$152,"&gt;"&amp;C75)-1,0)</f>
        <v/>
      </c>
      <c r="S75" s="9">
        <f>IF(AND(Q75=1,OR(R75&gt;0,P75=1)),1,0)</f>
        <v/>
      </c>
      <c r="T75" s="9">
        <f>IF(Q75=0,0,IF(AND(S75=1,Dashboard!$C$7="Нет"),0,1))</f>
        <v/>
      </c>
      <c r="U75" s="9">
        <f>IF(L75=1,"Исключено: дубль",IF(M75=1,"Исключено: нет объекта",IF(N75=1,"Исключено: валюта",IF(O75=1,"Исключено: возврат/статус",IF(S75=1,"На проверке","OK")))))</f>
        <v/>
      </c>
      <c r="V75" s="25">
        <f>SUMIFS(commission_rules!$D$2:$D$21,commission_rules!$A$2:$A$21,B75,commission_rules!$B$2:$B$21,"&lt;="&amp;C75,commission_rules!$C$2:$C$21,"&gt;="&amp;C75)</f>
        <v/>
      </c>
      <c r="W75" s="10">
        <f>F75-I75</f>
        <v/>
      </c>
      <c r="X75" s="10">
        <f>IF(F75=0,0,H75*W75/F75)</f>
        <v/>
      </c>
      <c r="Y75" s="10">
        <f>V75*W75</f>
        <v/>
      </c>
      <c r="Z75" s="10">
        <f>W75-X75</f>
        <v/>
      </c>
      <c r="AA75" s="10">
        <f>SUMIFS(calc_payments!$N$2:$N$77,calc_payments!$B$2:$B$77,A75)</f>
        <v/>
      </c>
      <c r="AB75" s="10">
        <f>AA75-Z75</f>
        <v/>
      </c>
      <c r="AC75" s="9">
        <f>IF(T75=0,"",IF(AA75=0,IF(Z75=0,"нечего получать","нет платежа"),IF(ABS(AB75)&lt;1,"сходится","расхождение")))</f>
        <v/>
      </c>
      <c r="AD75" s="9">
        <f>MAX(0,MIN(D75,Dashboard!$C$6+1)-MAX(C75,Dashboard!$C$5))</f>
        <v/>
      </c>
      <c r="AE75" s="26">
        <f>IF(K75=0,0,AD75/K75)*T75</f>
        <v/>
      </c>
      <c r="AF75" s="10">
        <f>F75*AE75</f>
        <v/>
      </c>
      <c r="AG75" s="10">
        <f>I75*AE75</f>
        <v/>
      </c>
      <c r="AH75" s="10">
        <f>W75*AE75</f>
        <v/>
      </c>
      <c r="AI75" s="10">
        <f>X75*AE75</f>
        <v/>
      </c>
      <c r="AJ75" s="10">
        <f>Y75*AE75</f>
        <v/>
      </c>
      <c r="AK75" s="9">
        <f>IF(AND(T75=1,AD75&gt;0),1,0)</f>
        <v/>
      </c>
      <c r="AL75" s="10">
        <f>Z75*AK75</f>
        <v/>
      </c>
      <c r="AM75" s="10">
        <f>AA75*AK75</f>
        <v/>
      </c>
      <c r="AN75" s="9">
        <f>AD75*T75</f>
        <v/>
      </c>
      <c r="AO75" s="9">
        <f>S75*AK75</f>
        <v/>
      </c>
    </row>
    <row r="76">
      <c r="A76" s="9">
        <f>raw_reservations!A76</f>
        <v/>
      </c>
      <c r="B76" s="9">
        <f>raw_reservations!B76</f>
        <v/>
      </c>
      <c r="C76" s="24">
        <f>raw_reservations!C76</f>
        <v/>
      </c>
      <c r="D76" s="24">
        <f>raw_reservations!D76</f>
        <v/>
      </c>
      <c r="E76" s="9">
        <f>raw_reservations!E76</f>
        <v/>
      </c>
      <c r="F76" s="10">
        <f>raw_reservations!F76</f>
        <v/>
      </c>
      <c r="G76" s="9">
        <f>raw_reservations!G76</f>
        <v/>
      </c>
      <c r="H76" s="10">
        <f>raw_reservations!H76</f>
        <v/>
      </c>
      <c r="I76" s="10">
        <f>raw_reservations!I76</f>
        <v/>
      </c>
      <c r="J76" s="9">
        <f>raw_reservations!J76</f>
        <v/>
      </c>
      <c r="K76" s="9">
        <f>D76-C76</f>
        <v/>
      </c>
      <c r="L76" s="9">
        <f>IF(COUNTIF(A$2:A76,A76)&gt;1,1,0)</f>
        <v/>
      </c>
      <c r="M76" s="9">
        <f>IF(COUNTIF(properties!$A$2:$A$21,B76)=0,1,0)</f>
        <v/>
      </c>
      <c r="N76" s="9">
        <f>IF(M76=1,0,IF(G76&lt;&gt;INDEX(properties!$E$2:$E$21,MATCH(B76,properties!$A$2:$A$21,0)),1,0))</f>
        <v/>
      </c>
      <c r="O76" s="9">
        <f>IF(OR(I76&gt;F76,AND(E76&lt;&gt;"cancelled",I76&gt;0)),1,0)</f>
        <v/>
      </c>
      <c r="P76" s="9">
        <f>IF(H76&lt;0,1,0)</f>
        <v/>
      </c>
      <c r="Q76" s="9">
        <f>IF(L76+M76+N76+O76=0,1,0)</f>
        <v/>
      </c>
      <c r="R76" s="9">
        <f>IF(AND(Q76=1,E76&lt;&gt;"cancelled"),COUNTIFS($B$2:$B$152,B76,$Q$2:$Q$152,1,$E$2:$E$152,"&lt;&gt;cancelled",$C$2:$C$152,"&lt;"&amp;D76,$D$2:$D$152,"&gt;"&amp;C76)-1,0)</f>
        <v/>
      </c>
      <c r="S76" s="9">
        <f>IF(AND(Q76=1,OR(R76&gt;0,P76=1)),1,0)</f>
        <v/>
      </c>
      <c r="T76" s="9">
        <f>IF(Q76=0,0,IF(AND(S76=1,Dashboard!$C$7="Нет"),0,1))</f>
        <v/>
      </c>
      <c r="U76" s="9">
        <f>IF(L76=1,"Исключено: дубль",IF(M76=1,"Исключено: нет объекта",IF(N76=1,"Исключено: валюта",IF(O76=1,"Исключено: возврат/статус",IF(S76=1,"На проверке","OK")))))</f>
        <v/>
      </c>
      <c r="V76" s="25">
        <f>SUMIFS(commission_rules!$D$2:$D$21,commission_rules!$A$2:$A$21,B76,commission_rules!$B$2:$B$21,"&lt;="&amp;C76,commission_rules!$C$2:$C$21,"&gt;="&amp;C76)</f>
        <v/>
      </c>
      <c r="W76" s="10">
        <f>F76-I76</f>
        <v/>
      </c>
      <c r="X76" s="10">
        <f>IF(F76=0,0,H76*W76/F76)</f>
        <v/>
      </c>
      <c r="Y76" s="10">
        <f>V76*W76</f>
        <v/>
      </c>
      <c r="Z76" s="10">
        <f>W76-X76</f>
        <v/>
      </c>
      <c r="AA76" s="10">
        <f>SUMIFS(calc_payments!$N$2:$N$77,calc_payments!$B$2:$B$77,A76)</f>
        <v/>
      </c>
      <c r="AB76" s="10">
        <f>AA76-Z76</f>
        <v/>
      </c>
      <c r="AC76" s="9">
        <f>IF(T76=0,"",IF(AA76=0,IF(Z76=0,"нечего получать","нет платежа"),IF(ABS(AB76)&lt;1,"сходится","расхождение")))</f>
        <v/>
      </c>
      <c r="AD76" s="9">
        <f>MAX(0,MIN(D76,Dashboard!$C$6+1)-MAX(C76,Dashboard!$C$5))</f>
        <v/>
      </c>
      <c r="AE76" s="26">
        <f>IF(K76=0,0,AD76/K76)*T76</f>
        <v/>
      </c>
      <c r="AF76" s="10">
        <f>F76*AE76</f>
        <v/>
      </c>
      <c r="AG76" s="10">
        <f>I76*AE76</f>
        <v/>
      </c>
      <c r="AH76" s="10">
        <f>W76*AE76</f>
        <v/>
      </c>
      <c r="AI76" s="10">
        <f>X76*AE76</f>
        <v/>
      </c>
      <c r="AJ76" s="10">
        <f>Y76*AE76</f>
        <v/>
      </c>
      <c r="AK76" s="9">
        <f>IF(AND(T76=1,AD76&gt;0),1,0)</f>
        <v/>
      </c>
      <c r="AL76" s="10">
        <f>Z76*AK76</f>
        <v/>
      </c>
      <c r="AM76" s="10">
        <f>AA76*AK76</f>
        <v/>
      </c>
      <c r="AN76" s="9">
        <f>AD76*T76</f>
        <v/>
      </c>
      <c r="AO76" s="9">
        <f>S76*AK76</f>
        <v/>
      </c>
    </row>
    <row r="77">
      <c r="A77" s="9">
        <f>raw_reservations!A77</f>
        <v/>
      </c>
      <c r="B77" s="9">
        <f>raw_reservations!B77</f>
        <v/>
      </c>
      <c r="C77" s="24">
        <f>raw_reservations!C77</f>
        <v/>
      </c>
      <c r="D77" s="24">
        <f>raw_reservations!D77</f>
        <v/>
      </c>
      <c r="E77" s="9">
        <f>raw_reservations!E77</f>
        <v/>
      </c>
      <c r="F77" s="10">
        <f>raw_reservations!F77</f>
        <v/>
      </c>
      <c r="G77" s="9">
        <f>raw_reservations!G77</f>
        <v/>
      </c>
      <c r="H77" s="10">
        <f>raw_reservations!H77</f>
        <v/>
      </c>
      <c r="I77" s="10">
        <f>raw_reservations!I77</f>
        <v/>
      </c>
      <c r="J77" s="9">
        <f>raw_reservations!J77</f>
        <v/>
      </c>
      <c r="K77" s="9">
        <f>D77-C77</f>
        <v/>
      </c>
      <c r="L77" s="9">
        <f>IF(COUNTIF(A$2:A77,A77)&gt;1,1,0)</f>
        <v/>
      </c>
      <c r="M77" s="9">
        <f>IF(COUNTIF(properties!$A$2:$A$21,B77)=0,1,0)</f>
        <v/>
      </c>
      <c r="N77" s="9">
        <f>IF(M77=1,0,IF(G77&lt;&gt;INDEX(properties!$E$2:$E$21,MATCH(B77,properties!$A$2:$A$21,0)),1,0))</f>
        <v/>
      </c>
      <c r="O77" s="9">
        <f>IF(OR(I77&gt;F77,AND(E77&lt;&gt;"cancelled",I77&gt;0)),1,0)</f>
        <v/>
      </c>
      <c r="P77" s="9">
        <f>IF(H77&lt;0,1,0)</f>
        <v/>
      </c>
      <c r="Q77" s="9">
        <f>IF(L77+M77+N77+O77=0,1,0)</f>
        <v/>
      </c>
      <c r="R77" s="9">
        <f>IF(AND(Q77=1,E77&lt;&gt;"cancelled"),COUNTIFS($B$2:$B$152,B77,$Q$2:$Q$152,1,$E$2:$E$152,"&lt;&gt;cancelled",$C$2:$C$152,"&lt;"&amp;D77,$D$2:$D$152,"&gt;"&amp;C77)-1,0)</f>
        <v/>
      </c>
      <c r="S77" s="9">
        <f>IF(AND(Q77=1,OR(R77&gt;0,P77=1)),1,0)</f>
        <v/>
      </c>
      <c r="T77" s="9">
        <f>IF(Q77=0,0,IF(AND(S77=1,Dashboard!$C$7="Нет"),0,1))</f>
        <v/>
      </c>
      <c r="U77" s="9">
        <f>IF(L77=1,"Исключено: дубль",IF(M77=1,"Исключено: нет объекта",IF(N77=1,"Исключено: валюта",IF(O77=1,"Исключено: возврат/статус",IF(S77=1,"На проверке","OK")))))</f>
        <v/>
      </c>
      <c r="V77" s="25">
        <f>SUMIFS(commission_rules!$D$2:$D$21,commission_rules!$A$2:$A$21,B77,commission_rules!$B$2:$B$21,"&lt;="&amp;C77,commission_rules!$C$2:$C$21,"&gt;="&amp;C77)</f>
        <v/>
      </c>
      <c r="W77" s="10">
        <f>F77-I77</f>
        <v/>
      </c>
      <c r="X77" s="10">
        <f>IF(F77=0,0,H77*W77/F77)</f>
        <v/>
      </c>
      <c r="Y77" s="10">
        <f>V77*W77</f>
        <v/>
      </c>
      <c r="Z77" s="10">
        <f>W77-X77</f>
        <v/>
      </c>
      <c r="AA77" s="10">
        <f>SUMIFS(calc_payments!$N$2:$N$77,calc_payments!$B$2:$B$77,A77)</f>
        <v/>
      </c>
      <c r="AB77" s="10">
        <f>AA77-Z77</f>
        <v/>
      </c>
      <c r="AC77" s="9">
        <f>IF(T77=0,"",IF(AA77=0,IF(Z77=0,"нечего получать","нет платежа"),IF(ABS(AB77)&lt;1,"сходится","расхождение")))</f>
        <v/>
      </c>
      <c r="AD77" s="9">
        <f>MAX(0,MIN(D77,Dashboard!$C$6+1)-MAX(C77,Dashboard!$C$5))</f>
        <v/>
      </c>
      <c r="AE77" s="26">
        <f>IF(K77=0,0,AD77/K77)*T77</f>
        <v/>
      </c>
      <c r="AF77" s="10">
        <f>F77*AE77</f>
        <v/>
      </c>
      <c r="AG77" s="10">
        <f>I77*AE77</f>
        <v/>
      </c>
      <c r="AH77" s="10">
        <f>W77*AE77</f>
        <v/>
      </c>
      <c r="AI77" s="10">
        <f>X77*AE77</f>
        <v/>
      </c>
      <c r="AJ77" s="10">
        <f>Y77*AE77</f>
        <v/>
      </c>
      <c r="AK77" s="9">
        <f>IF(AND(T77=1,AD77&gt;0),1,0)</f>
        <v/>
      </c>
      <c r="AL77" s="10">
        <f>Z77*AK77</f>
        <v/>
      </c>
      <c r="AM77" s="10">
        <f>AA77*AK77</f>
        <v/>
      </c>
      <c r="AN77" s="9">
        <f>AD77*T77</f>
        <v/>
      </c>
      <c r="AO77" s="9">
        <f>S77*AK77</f>
        <v/>
      </c>
    </row>
    <row r="78">
      <c r="A78" s="9">
        <f>raw_reservations!A78</f>
        <v/>
      </c>
      <c r="B78" s="9">
        <f>raw_reservations!B78</f>
        <v/>
      </c>
      <c r="C78" s="24">
        <f>raw_reservations!C78</f>
        <v/>
      </c>
      <c r="D78" s="24">
        <f>raw_reservations!D78</f>
        <v/>
      </c>
      <c r="E78" s="9">
        <f>raw_reservations!E78</f>
        <v/>
      </c>
      <c r="F78" s="10">
        <f>raw_reservations!F78</f>
        <v/>
      </c>
      <c r="G78" s="9">
        <f>raw_reservations!G78</f>
        <v/>
      </c>
      <c r="H78" s="10">
        <f>raw_reservations!H78</f>
        <v/>
      </c>
      <c r="I78" s="10">
        <f>raw_reservations!I78</f>
        <v/>
      </c>
      <c r="J78" s="9">
        <f>raw_reservations!J78</f>
        <v/>
      </c>
      <c r="K78" s="9">
        <f>D78-C78</f>
        <v/>
      </c>
      <c r="L78" s="9">
        <f>IF(COUNTIF(A$2:A78,A78)&gt;1,1,0)</f>
        <v/>
      </c>
      <c r="M78" s="9">
        <f>IF(COUNTIF(properties!$A$2:$A$21,B78)=0,1,0)</f>
        <v/>
      </c>
      <c r="N78" s="9">
        <f>IF(M78=1,0,IF(G78&lt;&gt;INDEX(properties!$E$2:$E$21,MATCH(B78,properties!$A$2:$A$21,0)),1,0))</f>
        <v/>
      </c>
      <c r="O78" s="9">
        <f>IF(OR(I78&gt;F78,AND(E78&lt;&gt;"cancelled",I78&gt;0)),1,0)</f>
        <v/>
      </c>
      <c r="P78" s="9">
        <f>IF(H78&lt;0,1,0)</f>
        <v/>
      </c>
      <c r="Q78" s="9">
        <f>IF(L78+M78+N78+O78=0,1,0)</f>
        <v/>
      </c>
      <c r="R78" s="9">
        <f>IF(AND(Q78=1,E78&lt;&gt;"cancelled"),COUNTIFS($B$2:$B$152,B78,$Q$2:$Q$152,1,$E$2:$E$152,"&lt;&gt;cancelled",$C$2:$C$152,"&lt;"&amp;D78,$D$2:$D$152,"&gt;"&amp;C78)-1,0)</f>
        <v/>
      </c>
      <c r="S78" s="9">
        <f>IF(AND(Q78=1,OR(R78&gt;0,P78=1)),1,0)</f>
        <v/>
      </c>
      <c r="T78" s="9">
        <f>IF(Q78=0,0,IF(AND(S78=1,Dashboard!$C$7="Нет"),0,1))</f>
        <v/>
      </c>
      <c r="U78" s="9">
        <f>IF(L78=1,"Исключено: дубль",IF(M78=1,"Исключено: нет объекта",IF(N78=1,"Исключено: валюта",IF(O78=1,"Исключено: возврат/статус",IF(S78=1,"На проверке","OK")))))</f>
        <v/>
      </c>
      <c r="V78" s="25">
        <f>SUMIFS(commission_rules!$D$2:$D$21,commission_rules!$A$2:$A$21,B78,commission_rules!$B$2:$B$21,"&lt;="&amp;C78,commission_rules!$C$2:$C$21,"&gt;="&amp;C78)</f>
        <v/>
      </c>
      <c r="W78" s="10">
        <f>F78-I78</f>
        <v/>
      </c>
      <c r="X78" s="10">
        <f>IF(F78=0,0,H78*W78/F78)</f>
        <v/>
      </c>
      <c r="Y78" s="10">
        <f>V78*W78</f>
        <v/>
      </c>
      <c r="Z78" s="10">
        <f>W78-X78</f>
        <v/>
      </c>
      <c r="AA78" s="10">
        <f>SUMIFS(calc_payments!$N$2:$N$77,calc_payments!$B$2:$B$77,A78)</f>
        <v/>
      </c>
      <c r="AB78" s="10">
        <f>AA78-Z78</f>
        <v/>
      </c>
      <c r="AC78" s="9">
        <f>IF(T78=0,"",IF(AA78=0,IF(Z78=0,"нечего получать","нет платежа"),IF(ABS(AB78)&lt;1,"сходится","расхождение")))</f>
        <v/>
      </c>
      <c r="AD78" s="9">
        <f>MAX(0,MIN(D78,Dashboard!$C$6+1)-MAX(C78,Dashboard!$C$5))</f>
        <v/>
      </c>
      <c r="AE78" s="26">
        <f>IF(K78=0,0,AD78/K78)*T78</f>
        <v/>
      </c>
      <c r="AF78" s="10">
        <f>F78*AE78</f>
        <v/>
      </c>
      <c r="AG78" s="10">
        <f>I78*AE78</f>
        <v/>
      </c>
      <c r="AH78" s="10">
        <f>W78*AE78</f>
        <v/>
      </c>
      <c r="AI78" s="10">
        <f>X78*AE78</f>
        <v/>
      </c>
      <c r="AJ78" s="10">
        <f>Y78*AE78</f>
        <v/>
      </c>
      <c r="AK78" s="9">
        <f>IF(AND(T78=1,AD78&gt;0),1,0)</f>
        <v/>
      </c>
      <c r="AL78" s="10">
        <f>Z78*AK78</f>
        <v/>
      </c>
      <c r="AM78" s="10">
        <f>AA78*AK78</f>
        <v/>
      </c>
      <c r="AN78" s="9">
        <f>AD78*T78</f>
        <v/>
      </c>
      <c r="AO78" s="9">
        <f>S78*AK78</f>
        <v/>
      </c>
    </row>
    <row r="79">
      <c r="A79" s="9">
        <f>raw_reservations!A79</f>
        <v/>
      </c>
      <c r="B79" s="9">
        <f>raw_reservations!B79</f>
        <v/>
      </c>
      <c r="C79" s="24">
        <f>raw_reservations!C79</f>
        <v/>
      </c>
      <c r="D79" s="24">
        <f>raw_reservations!D79</f>
        <v/>
      </c>
      <c r="E79" s="9">
        <f>raw_reservations!E79</f>
        <v/>
      </c>
      <c r="F79" s="10">
        <f>raw_reservations!F79</f>
        <v/>
      </c>
      <c r="G79" s="9">
        <f>raw_reservations!G79</f>
        <v/>
      </c>
      <c r="H79" s="10">
        <f>raw_reservations!H79</f>
        <v/>
      </c>
      <c r="I79" s="10">
        <f>raw_reservations!I79</f>
        <v/>
      </c>
      <c r="J79" s="9">
        <f>raw_reservations!J79</f>
        <v/>
      </c>
      <c r="K79" s="9">
        <f>D79-C79</f>
        <v/>
      </c>
      <c r="L79" s="9">
        <f>IF(COUNTIF(A$2:A79,A79)&gt;1,1,0)</f>
        <v/>
      </c>
      <c r="M79" s="9">
        <f>IF(COUNTIF(properties!$A$2:$A$21,B79)=0,1,0)</f>
        <v/>
      </c>
      <c r="N79" s="9">
        <f>IF(M79=1,0,IF(G79&lt;&gt;INDEX(properties!$E$2:$E$21,MATCH(B79,properties!$A$2:$A$21,0)),1,0))</f>
        <v/>
      </c>
      <c r="O79" s="9">
        <f>IF(OR(I79&gt;F79,AND(E79&lt;&gt;"cancelled",I79&gt;0)),1,0)</f>
        <v/>
      </c>
      <c r="P79" s="9">
        <f>IF(H79&lt;0,1,0)</f>
        <v/>
      </c>
      <c r="Q79" s="9">
        <f>IF(L79+M79+N79+O79=0,1,0)</f>
        <v/>
      </c>
      <c r="R79" s="9">
        <f>IF(AND(Q79=1,E79&lt;&gt;"cancelled"),COUNTIFS($B$2:$B$152,B79,$Q$2:$Q$152,1,$E$2:$E$152,"&lt;&gt;cancelled",$C$2:$C$152,"&lt;"&amp;D79,$D$2:$D$152,"&gt;"&amp;C79)-1,0)</f>
        <v/>
      </c>
      <c r="S79" s="9">
        <f>IF(AND(Q79=1,OR(R79&gt;0,P79=1)),1,0)</f>
        <v/>
      </c>
      <c r="T79" s="9">
        <f>IF(Q79=0,0,IF(AND(S79=1,Dashboard!$C$7="Нет"),0,1))</f>
        <v/>
      </c>
      <c r="U79" s="9">
        <f>IF(L79=1,"Исключено: дубль",IF(M79=1,"Исключено: нет объекта",IF(N79=1,"Исключено: валюта",IF(O79=1,"Исключено: возврат/статус",IF(S79=1,"На проверке","OK")))))</f>
        <v/>
      </c>
      <c r="V79" s="25">
        <f>SUMIFS(commission_rules!$D$2:$D$21,commission_rules!$A$2:$A$21,B79,commission_rules!$B$2:$B$21,"&lt;="&amp;C79,commission_rules!$C$2:$C$21,"&gt;="&amp;C79)</f>
        <v/>
      </c>
      <c r="W79" s="10">
        <f>F79-I79</f>
        <v/>
      </c>
      <c r="X79" s="10">
        <f>IF(F79=0,0,H79*W79/F79)</f>
        <v/>
      </c>
      <c r="Y79" s="10">
        <f>V79*W79</f>
        <v/>
      </c>
      <c r="Z79" s="10">
        <f>W79-X79</f>
        <v/>
      </c>
      <c r="AA79" s="10">
        <f>SUMIFS(calc_payments!$N$2:$N$77,calc_payments!$B$2:$B$77,A79)</f>
        <v/>
      </c>
      <c r="AB79" s="10">
        <f>AA79-Z79</f>
        <v/>
      </c>
      <c r="AC79" s="9">
        <f>IF(T79=0,"",IF(AA79=0,IF(Z79=0,"нечего получать","нет платежа"),IF(ABS(AB79)&lt;1,"сходится","расхождение")))</f>
        <v/>
      </c>
      <c r="AD79" s="9">
        <f>MAX(0,MIN(D79,Dashboard!$C$6+1)-MAX(C79,Dashboard!$C$5))</f>
        <v/>
      </c>
      <c r="AE79" s="26">
        <f>IF(K79=0,0,AD79/K79)*T79</f>
        <v/>
      </c>
      <c r="AF79" s="10">
        <f>F79*AE79</f>
        <v/>
      </c>
      <c r="AG79" s="10">
        <f>I79*AE79</f>
        <v/>
      </c>
      <c r="AH79" s="10">
        <f>W79*AE79</f>
        <v/>
      </c>
      <c r="AI79" s="10">
        <f>X79*AE79</f>
        <v/>
      </c>
      <c r="AJ79" s="10">
        <f>Y79*AE79</f>
        <v/>
      </c>
      <c r="AK79" s="9">
        <f>IF(AND(T79=1,AD79&gt;0),1,0)</f>
        <v/>
      </c>
      <c r="AL79" s="10">
        <f>Z79*AK79</f>
        <v/>
      </c>
      <c r="AM79" s="10">
        <f>AA79*AK79</f>
        <v/>
      </c>
      <c r="AN79" s="9">
        <f>AD79*T79</f>
        <v/>
      </c>
      <c r="AO79" s="9">
        <f>S79*AK79</f>
        <v/>
      </c>
    </row>
    <row r="80">
      <c r="A80" s="9">
        <f>raw_reservations!A80</f>
        <v/>
      </c>
      <c r="B80" s="9">
        <f>raw_reservations!B80</f>
        <v/>
      </c>
      <c r="C80" s="24">
        <f>raw_reservations!C80</f>
        <v/>
      </c>
      <c r="D80" s="24">
        <f>raw_reservations!D80</f>
        <v/>
      </c>
      <c r="E80" s="9">
        <f>raw_reservations!E80</f>
        <v/>
      </c>
      <c r="F80" s="10">
        <f>raw_reservations!F80</f>
        <v/>
      </c>
      <c r="G80" s="9">
        <f>raw_reservations!G80</f>
        <v/>
      </c>
      <c r="H80" s="10">
        <f>raw_reservations!H80</f>
        <v/>
      </c>
      <c r="I80" s="10">
        <f>raw_reservations!I80</f>
        <v/>
      </c>
      <c r="J80" s="9">
        <f>raw_reservations!J80</f>
        <v/>
      </c>
      <c r="K80" s="9">
        <f>D80-C80</f>
        <v/>
      </c>
      <c r="L80" s="9">
        <f>IF(COUNTIF(A$2:A80,A80)&gt;1,1,0)</f>
        <v/>
      </c>
      <c r="M80" s="9">
        <f>IF(COUNTIF(properties!$A$2:$A$21,B80)=0,1,0)</f>
        <v/>
      </c>
      <c r="N80" s="9">
        <f>IF(M80=1,0,IF(G80&lt;&gt;INDEX(properties!$E$2:$E$21,MATCH(B80,properties!$A$2:$A$21,0)),1,0))</f>
        <v/>
      </c>
      <c r="O80" s="9">
        <f>IF(OR(I80&gt;F80,AND(E80&lt;&gt;"cancelled",I80&gt;0)),1,0)</f>
        <v/>
      </c>
      <c r="P80" s="9">
        <f>IF(H80&lt;0,1,0)</f>
        <v/>
      </c>
      <c r="Q80" s="9">
        <f>IF(L80+M80+N80+O80=0,1,0)</f>
        <v/>
      </c>
      <c r="R80" s="9">
        <f>IF(AND(Q80=1,E80&lt;&gt;"cancelled"),COUNTIFS($B$2:$B$152,B80,$Q$2:$Q$152,1,$E$2:$E$152,"&lt;&gt;cancelled",$C$2:$C$152,"&lt;"&amp;D80,$D$2:$D$152,"&gt;"&amp;C80)-1,0)</f>
        <v/>
      </c>
      <c r="S80" s="9">
        <f>IF(AND(Q80=1,OR(R80&gt;0,P80=1)),1,0)</f>
        <v/>
      </c>
      <c r="T80" s="9">
        <f>IF(Q80=0,0,IF(AND(S80=1,Dashboard!$C$7="Нет"),0,1))</f>
        <v/>
      </c>
      <c r="U80" s="9">
        <f>IF(L80=1,"Исключено: дубль",IF(M80=1,"Исключено: нет объекта",IF(N80=1,"Исключено: валюта",IF(O80=1,"Исключено: возврат/статус",IF(S80=1,"На проверке","OK")))))</f>
        <v/>
      </c>
      <c r="V80" s="25">
        <f>SUMIFS(commission_rules!$D$2:$D$21,commission_rules!$A$2:$A$21,B80,commission_rules!$B$2:$B$21,"&lt;="&amp;C80,commission_rules!$C$2:$C$21,"&gt;="&amp;C80)</f>
        <v/>
      </c>
      <c r="W80" s="10">
        <f>F80-I80</f>
        <v/>
      </c>
      <c r="X80" s="10">
        <f>IF(F80=0,0,H80*W80/F80)</f>
        <v/>
      </c>
      <c r="Y80" s="10">
        <f>V80*W80</f>
        <v/>
      </c>
      <c r="Z80" s="10">
        <f>W80-X80</f>
        <v/>
      </c>
      <c r="AA80" s="10">
        <f>SUMIFS(calc_payments!$N$2:$N$77,calc_payments!$B$2:$B$77,A80)</f>
        <v/>
      </c>
      <c r="AB80" s="10">
        <f>AA80-Z80</f>
        <v/>
      </c>
      <c r="AC80" s="9">
        <f>IF(T80=0,"",IF(AA80=0,IF(Z80=0,"нечего получать","нет платежа"),IF(ABS(AB80)&lt;1,"сходится","расхождение")))</f>
        <v/>
      </c>
      <c r="AD80" s="9">
        <f>MAX(0,MIN(D80,Dashboard!$C$6+1)-MAX(C80,Dashboard!$C$5))</f>
        <v/>
      </c>
      <c r="AE80" s="26">
        <f>IF(K80=0,0,AD80/K80)*T80</f>
        <v/>
      </c>
      <c r="AF80" s="10">
        <f>F80*AE80</f>
        <v/>
      </c>
      <c r="AG80" s="10">
        <f>I80*AE80</f>
        <v/>
      </c>
      <c r="AH80" s="10">
        <f>W80*AE80</f>
        <v/>
      </c>
      <c r="AI80" s="10">
        <f>X80*AE80</f>
        <v/>
      </c>
      <c r="AJ80" s="10">
        <f>Y80*AE80</f>
        <v/>
      </c>
      <c r="AK80" s="9">
        <f>IF(AND(T80=1,AD80&gt;0),1,0)</f>
        <v/>
      </c>
      <c r="AL80" s="10">
        <f>Z80*AK80</f>
        <v/>
      </c>
      <c r="AM80" s="10">
        <f>AA80*AK80</f>
        <v/>
      </c>
      <c r="AN80" s="9">
        <f>AD80*T80</f>
        <v/>
      </c>
      <c r="AO80" s="9">
        <f>S80*AK80</f>
        <v/>
      </c>
    </row>
    <row r="81">
      <c r="A81" s="9">
        <f>raw_reservations!A81</f>
        <v/>
      </c>
      <c r="B81" s="9">
        <f>raw_reservations!B81</f>
        <v/>
      </c>
      <c r="C81" s="24">
        <f>raw_reservations!C81</f>
        <v/>
      </c>
      <c r="D81" s="24">
        <f>raw_reservations!D81</f>
        <v/>
      </c>
      <c r="E81" s="9">
        <f>raw_reservations!E81</f>
        <v/>
      </c>
      <c r="F81" s="10">
        <f>raw_reservations!F81</f>
        <v/>
      </c>
      <c r="G81" s="9">
        <f>raw_reservations!G81</f>
        <v/>
      </c>
      <c r="H81" s="10">
        <f>raw_reservations!H81</f>
        <v/>
      </c>
      <c r="I81" s="10">
        <f>raw_reservations!I81</f>
        <v/>
      </c>
      <c r="J81" s="9">
        <f>raw_reservations!J81</f>
        <v/>
      </c>
      <c r="K81" s="9">
        <f>D81-C81</f>
        <v/>
      </c>
      <c r="L81" s="9">
        <f>IF(COUNTIF(A$2:A81,A81)&gt;1,1,0)</f>
        <v/>
      </c>
      <c r="M81" s="9">
        <f>IF(COUNTIF(properties!$A$2:$A$21,B81)=0,1,0)</f>
        <v/>
      </c>
      <c r="N81" s="9">
        <f>IF(M81=1,0,IF(G81&lt;&gt;INDEX(properties!$E$2:$E$21,MATCH(B81,properties!$A$2:$A$21,0)),1,0))</f>
        <v/>
      </c>
      <c r="O81" s="9">
        <f>IF(OR(I81&gt;F81,AND(E81&lt;&gt;"cancelled",I81&gt;0)),1,0)</f>
        <v/>
      </c>
      <c r="P81" s="9">
        <f>IF(H81&lt;0,1,0)</f>
        <v/>
      </c>
      <c r="Q81" s="9">
        <f>IF(L81+M81+N81+O81=0,1,0)</f>
        <v/>
      </c>
      <c r="R81" s="9">
        <f>IF(AND(Q81=1,E81&lt;&gt;"cancelled"),COUNTIFS($B$2:$B$152,B81,$Q$2:$Q$152,1,$E$2:$E$152,"&lt;&gt;cancelled",$C$2:$C$152,"&lt;"&amp;D81,$D$2:$D$152,"&gt;"&amp;C81)-1,0)</f>
        <v/>
      </c>
      <c r="S81" s="9">
        <f>IF(AND(Q81=1,OR(R81&gt;0,P81=1)),1,0)</f>
        <v/>
      </c>
      <c r="T81" s="9">
        <f>IF(Q81=0,0,IF(AND(S81=1,Dashboard!$C$7="Нет"),0,1))</f>
        <v/>
      </c>
      <c r="U81" s="9">
        <f>IF(L81=1,"Исключено: дубль",IF(M81=1,"Исключено: нет объекта",IF(N81=1,"Исключено: валюта",IF(O81=1,"Исключено: возврат/статус",IF(S81=1,"На проверке","OK")))))</f>
        <v/>
      </c>
      <c r="V81" s="25">
        <f>SUMIFS(commission_rules!$D$2:$D$21,commission_rules!$A$2:$A$21,B81,commission_rules!$B$2:$B$21,"&lt;="&amp;C81,commission_rules!$C$2:$C$21,"&gt;="&amp;C81)</f>
        <v/>
      </c>
      <c r="W81" s="10">
        <f>F81-I81</f>
        <v/>
      </c>
      <c r="X81" s="10">
        <f>IF(F81=0,0,H81*W81/F81)</f>
        <v/>
      </c>
      <c r="Y81" s="10">
        <f>V81*W81</f>
        <v/>
      </c>
      <c r="Z81" s="10">
        <f>W81-X81</f>
        <v/>
      </c>
      <c r="AA81" s="10">
        <f>SUMIFS(calc_payments!$N$2:$N$77,calc_payments!$B$2:$B$77,A81)</f>
        <v/>
      </c>
      <c r="AB81" s="10">
        <f>AA81-Z81</f>
        <v/>
      </c>
      <c r="AC81" s="9">
        <f>IF(T81=0,"",IF(AA81=0,IF(Z81=0,"нечего получать","нет платежа"),IF(ABS(AB81)&lt;1,"сходится","расхождение")))</f>
        <v/>
      </c>
      <c r="AD81" s="9">
        <f>MAX(0,MIN(D81,Dashboard!$C$6+1)-MAX(C81,Dashboard!$C$5))</f>
        <v/>
      </c>
      <c r="AE81" s="26">
        <f>IF(K81=0,0,AD81/K81)*T81</f>
        <v/>
      </c>
      <c r="AF81" s="10">
        <f>F81*AE81</f>
        <v/>
      </c>
      <c r="AG81" s="10">
        <f>I81*AE81</f>
        <v/>
      </c>
      <c r="AH81" s="10">
        <f>W81*AE81</f>
        <v/>
      </c>
      <c r="AI81" s="10">
        <f>X81*AE81</f>
        <v/>
      </c>
      <c r="AJ81" s="10">
        <f>Y81*AE81</f>
        <v/>
      </c>
      <c r="AK81" s="9">
        <f>IF(AND(T81=1,AD81&gt;0),1,0)</f>
        <v/>
      </c>
      <c r="AL81" s="10">
        <f>Z81*AK81</f>
        <v/>
      </c>
      <c r="AM81" s="10">
        <f>AA81*AK81</f>
        <v/>
      </c>
      <c r="AN81" s="9">
        <f>AD81*T81</f>
        <v/>
      </c>
      <c r="AO81" s="9">
        <f>S81*AK81</f>
        <v/>
      </c>
    </row>
    <row r="82">
      <c r="A82" s="9">
        <f>raw_reservations!A82</f>
        <v/>
      </c>
      <c r="B82" s="9">
        <f>raw_reservations!B82</f>
        <v/>
      </c>
      <c r="C82" s="24">
        <f>raw_reservations!C82</f>
        <v/>
      </c>
      <c r="D82" s="24">
        <f>raw_reservations!D82</f>
        <v/>
      </c>
      <c r="E82" s="9">
        <f>raw_reservations!E82</f>
        <v/>
      </c>
      <c r="F82" s="10">
        <f>raw_reservations!F82</f>
        <v/>
      </c>
      <c r="G82" s="9">
        <f>raw_reservations!G82</f>
        <v/>
      </c>
      <c r="H82" s="10">
        <f>raw_reservations!H82</f>
        <v/>
      </c>
      <c r="I82" s="10">
        <f>raw_reservations!I82</f>
        <v/>
      </c>
      <c r="J82" s="9">
        <f>raw_reservations!J82</f>
        <v/>
      </c>
      <c r="K82" s="9">
        <f>D82-C82</f>
        <v/>
      </c>
      <c r="L82" s="9">
        <f>IF(COUNTIF(A$2:A82,A82)&gt;1,1,0)</f>
        <v/>
      </c>
      <c r="M82" s="9">
        <f>IF(COUNTIF(properties!$A$2:$A$21,B82)=0,1,0)</f>
        <v/>
      </c>
      <c r="N82" s="9">
        <f>IF(M82=1,0,IF(G82&lt;&gt;INDEX(properties!$E$2:$E$21,MATCH(B82,properties!$A$2:$A$21,0)),1,0))</f>
        <v/>
      </c>
      <c r="O82" s="9">
        <f>IF(OR(I82&gt;F82,AND(E82&lt;&gt;"cancelled",I82&gt;0)),1,0)</f>
        <v/>
      </c>
      <c r="P82" s="9">
        <f>IF(H82&lt;0,1,0)</f>
        <v/>
      </c>
      <c r="Q82" s="9">
        <f>IF(L82+M82+N82+O82=0,1,0)</f>
        <v/>
      </c>
      <c r="R82" s="9">
        <f>IF(AND(Q82=1,E82&lt;&gt;"cancelled"),COUNTIFS($B$2:$B$152,B82,$Q$2:$Q$152,1,$E$2:$E$152,"&lt;&gt;cancelled",$C$2:$C$152,"&lt;"&amp;D82,$D$2:$D$152,"&gt;"&amp;C82)-1,0)</f>
        <v/>
      </c>
      <c r="S82" s="9">
        <f>IF(AND(Q82=1,OR(R82&gt;0,P82=1)),1,0)</f>
        <v/>
      </c>
      <c r="T82" s="9">
        <f>IF(Q82=0,0,IF(AND(S82=1,Dashboard!$C$7="Нет"),0,1))</f>
        <v/>
      </c>
      <c r="U82" s="9">
        <f>IF(L82=1,"Исключено: дубль",IF(M82=1,"Исключено: нет объекта",IF(N82=1,"Исключено: валюта",IF(O82=1,"Исключено: возврат/статус",IF(S82=1,"На проверке","OK")))))</f>
        <v/>
      </c>
      <c r="V82" s="25">
        <f>SUMIFS(commission_rules!$D$2:$D$21,commission_rules!$A$2:$A$21,B82,commission_rules!$B$2:$B$21,"&lt;="&amp;C82,commission_rules!$C$2:$C$21,"&gt;="&amp;C82)</f>
        <v/>
      </c>
      <c r="W82" s="10">
        <f>F82-I82</f>
        <v/>
      </c>
      <c r="X82" s="10">
        <f>IF(F82=0,0,H82*W82/F82)</f>
        <v/>
      </c>
      <c r="Y82" s="10">
        <f>V82*W82</f>
        <v/>
      </c>
      <c r="Z82" s="10">
        <f>W82-X82</f>
        <v/>
      </c>
      <c r="AA82" s="10">
        <f>SUMIFS(calc_payments!$N$2:$N$77,calc_payments!$B$2:$B$77,A82)</f>
        <v/>
      </c>
      <c r="AB82" s="10">
        <f>AA82-Z82</f>
        <v/>
      </c>
      <c r="AC82" s="9">
        <f>IF(T82=0,"",IF(AA82=0,IF(Z82=0,"нечего получать","нет платежа"),IF(ABS(AB82)&lt;1,"сходится","расхождение")))</f>
        <v/>
      </c>
      <c r="AD82" s="9">
        <f>MAX(0,MIN(D82,Dashboard!$C$6+1)-MAX(C82,Dashboard!$C$5))</f>
        <v/>
      </c>
      <c r="AE82" s="26">
        <f>IF(K82=0,0,AD82/K82)*T82</f>
        <v/>
      </c>
      <c r="AF82" s="10">
        <f>F82*AE82</f>
        <v/>
      </c>
      <c r="AG82" s="10">
        <f>I82*AE82</f>
        <v/>
      </c>
      <c r="AH82" s="10">
        <f>W82*AE82</f>
        <v/>
      </c>
      <c r="AI82" s="10">
        <f>X82*AE82</f>
        <v/>
      </c>
      <c r="AJ82" s="10">
        <f>Y82*AE82</f>
        <v/>
      </c>
      <c r="AK82" s="9">
        <f>IF(AND(T82=1,AD82&gt;0),1,0)</f>
        <v/>
      </c>
      <c r="AL82" s="10">
        <f>Z82*AK82</f>
        <v/>
      </c>
      <c r="AM82" s="10">
        <f>AA82*AK82</f>
        <v/>
      </c>
      <c r="AN82" s="9">
        <f>AD82*T82</f>
        <v/>
      </c>
      <c r="AO82" s="9">
        <f>S82*AK82</f>
        <v/>
      </c>
    </row>
    <row r="83">
      <c r="A83" s="9">
        <f>raw_reservations!A83</f>
        <v/>
      </c>
      <c r="B83" s="9">
        <f>raw_reservations!B83</f>
        <v/>
      </c>
      <c r="C83" s="24">
        <f>raw_reservations!C83</f>
        <v/>
      </c>
      <c r="D83" s="24">
        <f>raw_reservations!D83</f>
        <v/>
      </c>
      <c r="E83" s="9">
        <f>raw_reservations!E83</f>
        <v/>
      </c>
      <c r="F83" s="10">
        <f>raw_reservations!F83</f>
        <v/>
      </c>
      <c r="G83" s="9">
        <f>raw_reservations!G83</f>
        <v/>
      </c>
      <c r="H83" s="10">
        <f>raw_reservations!H83</f>
        <v/>
      </c>
      <c r="I83" s="10">
        <f>raw_reservations!I83</f>
        <v/>
      </c>
      <c r="J83" s="9">
        <f>raw_reservations!J83</f>
        <v/>
      </c>
      <c r="K83" s="9">
        <f>D83-C83</f>
        <v/>
      </c>
      <c r="L83" s="9">
        <f>IF(COUNTIF(A$2:A83,A83)&gt;1,1,0)</f>
        <v/>
      </c>
      <c r="M83" s="9">
        <f>IF(COUNTIF(properties!$A$2:$A$21,B83)=0,1,0)</f>
        <v/>
      </c>
      <c r="N83" s="9">
        <f>IF(M83=1,0,IF(G83&lt;&gt;INDEX(properties!$E$2:$E$21,MATCH(B83,properties!$A$2:$A$21,0)),1,0))</f>
        <v/>
      </c>
      <c r="O83" s="9">
        <f>IF(OR(I83&gt;F83,AND(E83&lt;&gt;"cancelled",I83&gt;0)),1,0)</f>
        <v/>
      </c>
      <c r="P83" s="9">
        <f>IF(H83&lt;0,1,0)</f>
        <v/>
      </c>
      <c r="Q83" s="9">
        <f>IF(L83+M83+N83+O83=0,1,0)</f>
        <v/>
      </c>
      <c r="R83" s="9">
        <f>IF(AND(Q83=1,E83&lt;&gt;"cancelled"),COUNTIFS($B$2:$B$152,B83,$Q$2:$Q$152,1,$E$2:$E$152,"&lt;&gt;cancelled",$C$2:$C$152,"&lt;"&amp;D83,$D$2:$D$152,"&gt;"&amp;C83)-1,0)</f>
        <v/>
      </c>
      <c r="S83" s="9">
        <f>IF(AND(Q83=1,OR(R83&gt;0,P83=1)),1,0)</f>
        <v/>
      </c>
      <c r="T83" s="9">
        <f>IF(Q83=0,0,IF(AND(S83=1,Dashboard!$C$7="Нет"),0,1))</f>
        <v/>
      </c>
      <c r="U83" s="9">
        <f>IF(L83=1,"Исключено: дубль",IF(M83=1,"Исключено: нет объекта",IF(N83=1,"Исключено: валюта",IF(O83=1,"Исключено: возврат/статус",IF(S83=1,"На проверке","OK")))))</f>
        <v/>
      </c>
      <c r="V83" s="25">
        <f>SUMIFS(commission_rules!$D$2:$D$21,commission_rules!$A$2:$A$21,B83,commission_rules!$B$2:$B$21,"&lt;="&amp;C83,commission_rules!$C$2:$C$21,"&gt;="&amp;C83)</f>
        <v/>
      </c>
      <c r="W83" s="10">
        <f>F83-I83</f>
        <v/>
      </c>
      <c r="X83" s="10">
        <f>IF(F83=0,0,H83*W83/F83)</f>
        <v/>
      </c>
      <c r="Y83" s="10">
        <f>V83*W83</f>
        <v/>
      </c>
      <c r="Z83" s="10">
        <f>W83-X83</f>
        <v/>
      </c>
      <c r="AA83" s="10">
        <f>SUMIFS(calc_payments!$N$2:$N$77,calc_payments!$B$2:$B$77,A83)</f>
        <v/>
      </c>
      <c r="AB83" s="10">
        <f>AA83-Z83</f>
        <v/>
      </c>
      <c r="AC83" s="9">
        <f>IF(T83=0,"",IF(AA83=0,IF(Z83=0,"нечего получать","нет платежа"),IF(ABS(AB83)&lt;1,"сходится","расхождение")))</f>
        <v/>
      </c>
      <c r="AD83" s="9">
        <f>MAX(0,MIN(D83,Dashboard!$C$6+1)-MAX(C83,Dashboard!$C$5))</f>
        <v/>
      </c>
      <c r="AE83" s="26">
        <f>IF(K83=0,0,AD83/K83)*T83</f>
        <v/>
      </c>
      <c r="AF83" s="10">
        <f>F83*AE83</f>
        <v/>
      </c>
      <c r="AG83" s="10">
        <f>I83*AE83</f>
        <v/>
      </c>
      <c r="AH83" s="10">
        <f>W83*AE83</f>
        <v/>
      </c>
      <c r="AI83" s="10">
        <f>X83*AE83</f>
        <v/>
      </c>
      <c r="AJ83" s="10">
        <f>Y83*AE83</f>
        <v/>
      </c>
      <c r="AK83" s="9">
        <f>IF(AND(T83=1,AD83&gt;0),1,0)</f>
        <v/>
      </c>
      <c r="AL83" s="10">
        <f>Z83*AK83</f>
        <v/>
      </c>
      <c r="AM83" s="10">
        <f>AA83*AK83</f>
        <v/>
      </c>
      <c r="AN83" s="9">
        <f>AD83*T83</f>
        <v/>
      </c>
      <c r="AO83" s="9">
        <f>S83*AK83</f>
        <v/>
      </c>
    </row>
    <row r="84">
      <c r="A84" s="9">
        <f>raw_reservations!A84</f>
        <v/>
      </c>
      <c r="B84" s="9">
        <f>raw_reservations!B84</f>
        <v/>
      </c>
      <c r="C84" s="24">
        <f>raw_reservations!C84</f>
        <v/>
      </c>
      <c r="D84" s="24">
        <f>raw_reservations!D84</f>
        <v/>
      </c>
      <c r="E84" s="9">
        <f>raw_reservations!E84</f>
        <v/>
      </c>
      <c r="F84" s="10">
        <f>raw_reservations!F84</f>
        <v/>
      </c>
      <c r="G84" s="9">
        <f>raw_reservations!G84</f>
        <v/>
      </c>
      <c r="H84" s="10">
        <f>raw_reservations!H84</f>
        <v/>
      </c>
      <c r="I84" s="10">
        <f>raw_reservations!I84</f>
        <v/>
      </c>
      <c r="J84" s="9">
        <f>raw_reservations!J84</f>
        <v/>
      </c>
      <c r="K84" s="9">
        <f>D84-C84</f>
        <v/>
      </c>
      <c r="L84" s="9">
        <f>IF(COUNTIF(A$2:A84,A84)&gt;1,1,0)</f>
        <v/>
      </c>
      <c r="M84" s="9">
        <f>IF(COUNTIF(properties!$A$2:$A$21,B84)=0,1,0)</f>
        <v/>
      </c>
      <c r="N84" s="9">
        <f>IF(M84=1,0,IF(G84&lt;&gt;INDEX(properties!$E$2:$E$21,MATCH(B84,properties!$A$2:$A$21,0)),1,0))</f>
        <v/>
      </c>
      <c r="O84" s="9">
        <f>IF(OR(I84&gt;F84,AND(E84&lt;&gt;"cancelled",I84&gt;0)),1,0)</f>
        <v/>
      </c>
      <c r="P84" s="9">
        <f>IF(H84&lt;0,1,0)</f>
        <v/>
      </c>
      <c r="Q84" s="9">
        <f>IF(L84+M84+N84+O84=0,1,0)</f>
        <v/>
      </c>
      <c r="R84" s="9">
        <f>IF(AND(Q84=1,E84&lt;&gt;"cancelled"),COUNTIFS($B$2:$B$152,B84,$Q$2:$Q$152,1,$E$2:$E$152,"&lt;&gt;cancelled",$C$2:$C$152,"&lt;"&amp;D84,$D$2:$D$152,"&gt;"&amp;C84)-1,0)</f>
        <v/>
      </c>
      <c r="S84" s="9">
        <f>IF(AND(Q84=1,OR(R84&gt;0,P84=1)),1,0)</f>
        <v/>
      </c>
      <c r="T84" s="9">
        <f>IF(Q84=0,0,IF(AND(S84=1,Dashboard!$C$7="Нет"),0,1))</f>
        <v/>
      </c>
      <c r="U84" s="9">
        <f>IF(L84=1,"Исключено: дубль",IF(M84=1,"Исключено: нет объекта",IF(N84=1,"Исключено: валюта",IF(O84=1,"Исключено: возврат/статус",IF(S84=1,"На проверке","OK")))))</f>
        <v/>
      </c>
      <c r="V84" s="25">
        <f>SUMIFS(commission_rules!$D$2:$D$21,commission_rules!$A$2:$A$21,B84,commission_rules!$B$2:$B$21,"&lt;="&amp;C84,commission_rules!$C$2:$C$21,"&gt;="&amp;C84)</f>
        <v/>
      </c>
      <c r="W84" s="10">
        <f>F84-I84</f>
        <v/>
      </c>
      <c r="X84" s="10">
        <f>IF(F84=0,0,H84*W84/F84)</f>
        <v/>
      </c>
      <c r="Y84" s="10">
        <f>V84*W84</f>
        <v/>
      </c>
      <c r="Z84" s="10">
        <f>W84-X84</f>
        <v/>
      </c>
      <c r="AA84" s="10">
        <f>SUMIFS(calc_payments!$N$2:$N$77,calc_payments!$B$2:$B$77,A84)</f>
        <v/>
      </c>
      <c r="AB84" s="10">
        <f>AA84-Z84</f>
        <v/>
      </c>
      <c r="AC84" s="9">
        <f>IF(T84=0,"",IF(AA84=0,IF(Z84=0,"нечего получать","нет платежа"),IF(ABS(AB84)&lt;1,"сходится","расхождение")))</f>
        <v/>
      </c>
      <c r="AD84" s="9">
        <f>MAX(0,MIN(D84,Dashboard!$C$6+1)-MAX(C84,Dashboard!$C$5))</f>
        <v/>
      </c>
      <c r="AE84" s="26">
        <f>IF(K84=0,0,AD84/K84)*T84</f>
        <v/>
      </c>
      <c r="AF84" s="10">
        <f>F84*AE84</f>
        <v/>
      </c>
      <c r="AG84" s="10">
        <f>I84*AE84</f>
        <v/>
      </c>
      <c r="AH84" s="10">
        <f>W84*AE84</f>
        <v/>
      </c>
      <c r="AI84" s="10">
        <f>X84*AE84</f>
        <v/>
      </c>
      <c r="AJ84" s="10">
        <f>Y84*AE84</f>
        <v/>
      </c>
      <c r="AK84" s="9">
        <f>IF(AND(T84=1,AD84&gt;0),1,0)</f>
        <v/>
      </c>
      <c r="AL84" s="10">
        <f>Z84*AK84</f>
        <v/>
      </c>
      <c r="AM84" s="10">
        <f>AA84*AK84</f>
        <v/>
      </c>
      <c r="AN84" s="9">
        <f>AD84*T84</f>
        <v/>
      </c>
      <c r="AO84" s="9">
        <f>S84*AK84</f>
        <v/>
      </c>
    </row>
    <row r="85">
      <c r="A85" s="9">
        <f>raw_reservations!A85</f>
        <v/>
      </c>
      <c r="B85" s="9">
        <f>raw_reservations!B85</f>
        <v/>
      </c>
      <c r="C85" s="24">
        <f>raw_reservations!C85</f>
        <v/>
      </c>
      <c r="D85" s="24">
        <f>raw_reservations!D85</f>
        <v/>
      </c>
      <c r="E85" s="9">
        <f>raw_reservations!E85</f>
        <v/>
      </c>
      <c r="F85" s="10">
        <f>raw_reservations!F85</f>
        <v/>
      </c>
      <c r="G85" s="9">
        <f>raw_reservations!G85</f>
        <v/>
      </c>
      <c r="H85" s="10">
        <f>raw_reservations!H85</f>
        <v/>
      </c>
      <c r="I85" s="10">
        <f>raw_reservations!I85</f>
        <v/>
      </c>
      <c r="J85" s="9">
        <f>raw_reservations!J85</f>
        <v/>
      </c>
      <c r="K85" s="9">
        <f>D85-C85</f>
        <v/>
      </c>
      <c r="L85" s="9">
        <f>IF(COUNTIF(A$2:A85,A85)&gt;1,1,0)</f>
        <v/>
      </c>
      <c r="M85" s="9">
        <f>IF(COUNTIF(properties!$A$2:$A$21,B85)=0,1,0)</f>
        <v/>
      </c>
      <c r="N85" s="9">
        <f>IF(M85=1,0,IF(G85&lt;&gt;INDEX(properties!$E$2:$E$21,MATCH(B85,properties!$A$2:$A$21,0)),1,0))</f>
        <v/>
      </c>
      <c r="O85" s="9">
        <f>IF(OR(I85&gt;F85,AND(E85&lt;&gt;"cancelled",I85&gt;0)),1,0)</f>
        <v/>
      </c>
      <c r="P85" s="9">
        <f>IF(H85&lt;0,1,0)</f>
        <v/>
      </c>
      <c r="Q85" s="9">
        <f>IF(L85+M85+N85+O85=0,1,0)</f>
        <v/>
      </c>
      <c r="R85" s="9">
        <f>IF(AND(Q85=1,E85&lt;&gt;"cancelled"),COUNTIFS($B$2:$B$152,B85,$Q$2:$Q$152,1,$E$2:$E$152,"&lt;&gt;cancelled",$C$2:$C$152,"&lt;"&amp;D85,$D$2:$D$152,"&gt;"&amp;C85)-1,0)</f>
        <v/>
      </c>
      <c r="S85" s="9">
        <f>IF(AND(Q85=1,OR(R85&gt;0,P85=1)),1,0)</f>
        <v/>
      </c>
      <c r="T85" s="9">
        <f>IF(Q85=0,0,IF(AND(S85=1,Dashboard!$C$7="Нет"),0,1))</f>
        <v/>
      </c>
      <c r="U85" s="9">
        <f>IF(L85=1,"Исключено: дубль",IF(M85=1,"Исключено: нет объекта",IF(N85=1,"Исключено: валюта",IF(O85=1,"Исключено: возврат/статус",IF(S85=1,"На проверке","OK")))))</f>
        <v/>
      </c>
      <c r="V85" s="25">
        <f>SUMIFS(commission_rules!$D$2:$D$21,commission_rules!$A$2:$A$21,B85,commission_rules!$B$2:$B$21,"&lt;="&amp;C85,commission_rules!$C$2:$C$21,"&gt;="&amp;C85)</f>
        <v/>
      </c>
      <c r="W85" s="10">
        <f>F85-I85</f>
        <v/>
      </c>
      <c r="X85" s="10">
        <f>IF(F85=0,0,H85*W85/F85)</f>
        <v/>
      </c>
      <c r="Y85" s="10">
        <f>V85*W85</f>
        <v/>
      </c>
      <c r="Z85" s="10">
        <f>W85-X85</f>
        <v/>
      </c>
      <c r="AA85" s="10">
        <f>SUMIFS(calc_payments!$N$2:$N$77,calc_payments!$B$2:$B$77,A85)</f>
        <v/>
      </c>
      <c r="AB85" s="10">
        <f>AA85-Z85</f>
        <v/>
      </c>
      <c r="AC85" s="9">
        <f>IF(T85=0,"",IF(AA85=0,IF(Z85=0,"нечего получать","нет платежа"),IF(ABS(AB85)&lt;1,"сходится","расхождение")))</f>
        <v/>
      </c>
      <c r="AD85" s="9">
        <f>MAX(0,MIN(D85,Dashboard!$C$6+1)-MAX(C85,Dashboard!$C$5))</f>
        <v/>
      </c>
      <c r="AE85" s="26">
        <f>IF(K85=0,0,AD85/K85)*T85</f>
        <v/>
      </c>
      <c r="AF85" s="10">
        <f>F85*AE85</f>
        <v/>
      </c>
      <c r="AG85" s="10">
        <f>I85*AE85</f>
        <v/>
      </c>
      <c r="AH85" s="10">
        <f>W85*AE85</f>
        <v/>
      </c>
      <c r="AI85" s="10">
        <f>X85*AE85</f>
        <v/>
      </c>
      <c r="AJ85" s="10">
        <f>Y85*AE85</f>
        <v/>
      </c>
      <c r="AK85" s="9">
        <f>IF(AND(T85=1,AD85&gt;0),1,0)</f>
        <v/>
      </c>
      <c r="AL85" s="10">
        <f>Z85*AK85</f>
        <v/>
      </c>
      <c r="AM85" s="10">
        <f>AA85*AK85</f>
        <v/>
      </c>
      <c r="AN85" s="9">
        <f>AD85*T85</f>
        <v/>
      </c>
      <c r="AO85" s="9">
        <f>S85*AK85</f>
        <v/>
      </c>
    </row>
    <row r="86">
      <c r="A86" s="9">
        <f>raw_reservations!A86</f>
        <v/>
      </c>
      <c r="B86" s="9">
        <f>raw_reservations!B86</f>
        <v/>
      </c>
      <c r="C86" s="24">
        <f>raw_reservations!C86</f>
        <v/>
      </c>
      <c r="D86" s="24">
        <f>raw_reservations!D86</f>
        <v/>
      </c>
      <c r="E86" s="9">
        <f>raw_reservations!E86</f>
        <v/>
      </c>
      <c r="F86" s="10">
        <f>raw_reservations!F86</f>
        <v/>
      </c>
      <c r="G86" s="9">
        <f>raw_reservations!G86</f>
        <v/>
      </c>
      <c r="H86" s="10">
        <f>raw_reservations!H86</f>
        <v/>
      </c>
      <c r="I86" s="10">
        <f>raw_reservations!I86</f>
        <v/>
      </c>
      <c r="J86" s="9">
        <f>raw_reservations!J86</f>
        <v/>
      </c>
      <c r="K86" s="9">
        <f>D86-C86</f>
        <v/>
      </c>
      <c r="L86" s="9">
        <f>IF(COUNTIF(A$2:A86,A86)&gt;1,1,0)</f>
        <v/>
      </c>
      <c r="M86" s="9">
        <f>IF(COUNTIF(properties!$A$2:$A$21,B86)=0,1,0)</f>
        <v/>
      </c>
      <c r="N86" s="9">
        <f>IF(M86=1,0,IF(G86&lt;&gt;INDEX(properties!$E$2:$E$21,MATCH(B86,properties!$A$2:$A$21,0)),1,0))</f>
        <v/>
      </c>
      <c r="O86" s="9">
        <f>IF(OR(I86&gt;F86,AND(E86&lt;&gt;"cancelled",I86&gt;0)),1,0)</f>
        <v/>
      </c>
      <c r="P86" s="9">
        <f>IF(H86&lt;0,1,0)</f>
        <v/>
      </c>
      <c r="Q86" s="9">
        <f>IF(L86+M86+N86+O86=0,1,0)</f>
        <v/>
      </c>
      <c r="R86" s="9">
        <f>IF(AND(Q86=1,E86&lt;&gt;"cancelled"),COUNTIFS($B$2:$B$152,B86,$Q$2:$Q$152,1,$E$2:$E$152,"&lt;&gt;cancelled",$C$2:$C$152,"&lt;"&amp;D86,$D$2:$D$152,"&gt;"&amp;C86)-1,0)</f>
        <v/>
      </c>
      <c r="S86" s="9">
        <f>IF(AND(Q86=1,OR(R86&gt;0,P86=1)),1,0)</f>
        <v/>
      </c>
      <c r="T86" s="9">
        <f>IF(Q86=0,0,IF(AND(S86=1,Dashboard!$C$7="Нет"),0,1))</f>
        <v/>
      </c>
      <c r="U86" s="9">
        <f>IF(L86=1,"Исключено: дубль",IF(M86=1,"Исключено: нет объекта",IF(N86=1,"Исключено: валюта",IF(O86=1,"Исключено: возврат/статус",IF(S86=1,"На проверке","OK")))))</f>
        <v/>
      </c>
      <c r="V86" s="25">
        <f>SUMIFS(commission_rules!$D$2:$D$21,commission_rules!$A$2:$A$21,B86,commission_rules!$B$2:$B$21,"&lt;="&amp;C86,commission_rules!$C$2:$C$21,"&gt;="&amp;C86)</f>
        <v/>
      </c>
      <c r="W86" s="10">
        <f>F86-I86</f>
        <v/>
      </c>
      <c r="X86" s="10">
        <f>IF(F86=0,0,H86*W86/F86)</f>
        <v/>
      </c>
      <c r="Y86" s="10">
        <f>V86*W86</f>
        <v/>
      </c>
      <c r="Z86" s="10">
        <f>W86-X86</f>
        <v/>
      </c>
      <c r="AA86" s="10">
        <f>SUMIFS(calc_payments!$N$2:$N$77,calc_payments!$B$2:$B$77,A86)</f>
        <v/>
      </c>
      <c r="AB86" s="10">
        <f>AA86-Z86</f>
        <v/>
      </c>
      <c r="AC86" s="9">
        <f>IF(T86=0,"",IF(AA86=0,IF(Z86=0,"нечего получать","нет платежа"),IF(ABS(AB86)&lt;1,"сходится","расхождение")))</f>
        <v/>
      </c>
      <c r="AD86" s="9">
        <f>MAX(0,MIN(D86,Dashboard!$C$6+1)-MAX(C86,Dashboard!$C$5))</f>
        <v/>
      </c>
      <c r="AE86" s="26">
        <f>IF(K86=0,0,AD86/K86)*T86</f>
        <v/>
      </c>
      <c r="AF86" s="10">
        <f>F86*AE86</f>
        <v/>
      </c>
      <c r="AG86" s="10">
        <f>I86*AE86</f>
        <v/>
      </c>
      <c r="AH86" s="10">
        <f>W86*AE86</f>
        <v/>
      </c>
      <c r="AI86" s="10">
        <f>X86*AE86</f>
        <v/>
      </c>
      <c r="AJ86" s="10">
        <f>Y86*AE86</f>
        <v/>
      </c>
      <c r="AK86" s="9">
        <f>IF(AND(T86=1,AD86&gt;0),1,0)</f>
        <v/>
      </c>
      <c r="AL86" s="10">
        <f>Z86*AK86</f>
        <v/>
      </c>
      <c r="AM86" s="10">
        <f>AA86*AK86</f>
        <v/>
      </c>
      <c r="AN86" s="9">
        <f>AD86*T86</f>
        <v/>
      </c>
      <c r="AO86" s="9">
        <f>S86*AK86</f>
        <v/>
      </c>
    </row>
    <row r="87">
      <c r="A87" s="9">
        <f>raw_reservations!A87</f>
        <v/>
      </c>
      <c r="B87" s="9">
        <f>raw_reservations!B87</f>
        <v/>
      </c>
      <c r="C87" s="24">
        <f>raw_reservations!C87</f>
        <v/>
      </c>
      <c r="D87" s="24">
        <f>raw_reservations!D87</f>
        <v/>
      </c>
      <c r="E87" s="9">
        <f>raw_reservations!E87</f>
        <v/>
      </c>
      <c r="F87" s="10">
        <f>raw_reservations!F87</f>
        <v/>
      </c>
      <c r="G87" s="9">
        <f>raw_reservations!G87</f>
        <v/>
      </c>
      <c r="H87" s="10">
        <f>raw_reservations!H87</f>
        <v/>
      </c>
      <c r="I87" s="10">
        <f>raw_reservations!I87</f>
        <v/>
      </c>
      <c r="J87" s="9">
        <f>raw_reservations!J87</f>
        <v/>
      </c>
      <c r="K87" s="9">
        <f>D87-C87</f>
        <v/>
      </c>
      <c r="L87" s="9">
        <f>IF(COUNTIF(A$2:A87,A87)&gt;1,1,0)</f>
        <v/>
      </c>
      <c r="M87" s="9">
        <f>IF(COUNTIF(properties!$A$2:$A$21,B87)=0,1,0)</f>
        <v/>
      </c>
      <c r="N87" s="9">
        <f>IF(M87=1,0,IF(G87&lt;&gt;INDEX(properties!$E$2:$E$21,MATCH(B87,properties!$A$2:$A$21,0)),1,0))</f>
        <v/>
      </c>
      <c r="O87" s="9">
        <f>IF(OR(I87&gt;F87,AND(E87&lt;&gt;"cancelled",I87&gt;0)),1,0)</f>
        <v/>
      </c>
      <c r="P87" s="9">
        <f>IF(H87&lt;0,1,0)</f>
        <v/>
      </c>
      <c r="Q87" s="9">
        <f>IF(L87+M87+N87+O87=0,1,0)</f>
        <v/>
      </c>
      <c r="R87" s="9">
        <f>IF(AND(Q87=1,E87&lt;&gt;"cancelled"),COUNTIFS($B$2:$B$152,B87,$Q$2:$Q$152,1,$E$2:$E$152,"&lt;&gt;cancelled",$C$2:$C$152,"&lt;"&amp;D87,$D$2:$D$152,"&gt;"&amp;C87)-1,0)</f>
        <v/>
      </c>
      <c r="S87" s="9">
        <f>IF(AND(Q87=1,OR(R87&gt;0,P87=1)),1,0)</f>
        <v/>
      </c>
      <c r="T87" s="9">
        <f>IF(Q87=0,0,IF(AND(S87=1,Dashboard!$C$7="Нет"),0,1))</f>
        <v/>
      </c>
      <c r="U87" s="9">
        <f>IF(L87=1,"Исключено: дубль",IF(M87=1,"Исключено: нет объекта",IF(N87=1,"Исключено: валюта",IF(O87=1,"Исключено: возврат/статус",IF(S87=1,"На проверке","OK")))))</f>
        <v/>
      </c>
      <c r="V87" s="25">
        <f>SUMIFS(commission_rules!$D$2:$D$21,commission_rules!$A$2:$A$21,B87,commission_rules!$B$2:$B$21,"&lt;="&amp;C87,commission_rules!$C$2:$C$21,"&gt;="&amp;C87)</f>
        <v/>
      </c>
      <c r="W87" s="10">
        <f>F87-I87</f>
        <v/>
      </c>
      <c r="X87" s="10">
        <f>IF(F87=0,0,H87*W87/F87)</f>
        <v/>
      </c>
      <c r="Y87" s="10">
        <f>V87*W87</f>
        <v/>
      </c>
      <c r="Z87" s="10">
        <f>W87-X87</f>
        <v/>
      </c>
      <c r="AA87" s="10">
        <f>SUMIFS(calc_payments!$N$2:$N$77,calc_payments!$B$2:$B$77,A87)</f>
        <v/>
      </c>
      <c r="AB87" s="10">
        <f>AA87-Z87</f>
        <v/>
      </c>
      <c r="AC87" s="9">
        <f>IF(T87=0,"",IF(AA87=0,IF(Z87=0,"нечего получать","нет платежа"),IF(ABS(AB87)&lt;1,"сходится","расхождение")))</f>
        <v/>
      </c>
      <c r="AD87" s="9">
        <f>MAX(0,MIN(D87,Dashboard!$C$6+1)-MAX(C87,Dashboard!$C$5))</f>
        <v/>
      </c>
      <c r="AE87" s="26">
        <f>IF(K87=0,0,AD87/K87)*T87</f>
        <v/>
      </c>
      <c r="AF87" s="10">
        <f>F87*AE87</f>
        <v/>
      </c>
      <c r="AG87" s="10">
        <f>I87*AE87</f>
        <v/>
      </c>
      <c r="AH87" s="10">
        <f>W87*AE87</f>
        <v/>
      </c>
      <c r="AI87" s="10">
        <f>X87*AE87</f>
        <v/>
      </c>
      <c r="AJ87" s="10">
        <f>Y87*AE87</f>
        <v/>
      </c>
      <c r="AK87" s="9">
        <f>IF(AND(T87=1,AD87&gt;0),1,0)</f>
        <v/>
      </c>
      <c r="AL87" s="10">
        <f>Z87*AK87</f>
        <v/>
      </c>
      <c r="AM87" s="10">
        <f>AA87*AK87</f>
        <v/>
      </c>
      <c r="AN87" s="9">
        <f>AD87*T87</f>
        <v/>
      </c>
      <c r="AO87" s="9">
        <f>S87*AK87</f>
        <v/>
      </c>
    </row>
    <row r="88">
      <c r="A88" s="9">
        <f>raw_reservations!A88</f>
        <v/>
      </c>
      <c r="B88" s="9">
        <f>raw_reservations!B88</f>
        <v/>
      </c>
      <c r="C88" s="24">
        <f>raw_reservations!C88</f>
        <v/>
      </c>
      <c r="D88" s="24">
        <f>raw_reservations!D88</f>
        <v/>
      </c>
      <c r="E88" s="9">
        <f>raw_reservations!E88</f>
        <v/>
      </c>
      <c r="F88" s="10">
        <f>raw_reservations!F88</f>
        <v/>
      </c>
      <c r="G88" s="9">
        <f>raw_reservations!G88</f>
        <v/>
      </c>
      <c r="H88" s="10">
        <f>raw_reservations!H88</f>
        <v/>
      </c>
      <c r="I88" s="10">
        <f>raw_reservations!I88</f>
        <v/>
      </c>
      <c r="J88" s="9">
        <f>raw_reservations!J88</f>
        <v/>
      </c>
      <c r="K88" s="9">
        <f>D88-C88</f>
        <v/>
      </c>
      <c r="L88" s="9">
        <f>IF(COUNTIF(A$2:A88,A88)&gt;1,1,0)</f>
        <v/>
      </c>
      <c r="M88" s="9">
        <f>IF(COUNTIF(properties!$A$2:$A$21,B88)=0,1,0)</f>
        <v/>
      </c>
      <c r="N88" s="9">
        <f>IF(M88=1,0,IF(G88&lt;&gt;INDEX(properties!$E$2:$E$21,MATCH(B88,properties!$A$2:$A$21,0)),1,0))</f>
        <v/>
      </c>
      <c r="O88" s="9">
        <f>IF(OR(I88&gt;F88,AND(E88&lt;&gt;"cancelled",I88&gt;0)),1,0)</f>
        <v/>
      </c>
      <c r="P88" s="9">
        <f>IF(H88&lt;0,1,0)</f>
        <v/>
      </c>
      <c r="Q88" s="9">
        <f>IF(L88+M88+N88+O88=0,1,0)</f>
        <v/>
      </c>
      <c r="R88" s="9">
        <f>IF(AND(Q88=1,E88&lt;&gt;"cancelled"),COUNTIFS($B$2:$B$152,B88,$Q$2:$Q$152,1,$E$2:$E$152,"&lt;&gt;cancelled",$C$2:$C$152,"&lt;"&amp;D88,$D$2:$D$152,"&gt;"&amp;C88)-1,0)</f>
        <v/>
      </c>
      <c r="S88" s="9">
        <f>IF(AND(Q88=1,OR(R88&gt;0,P88=1)),1,0)</f>
        <v/>
      </c>
      <c r="T88" s="9">
        <f>IF(Q88=0,0,IF(AND(S88=1,Dashboard!$C$7="Нет"),0,1))</f>
        <v/>
      </c>
      <c r="U88" s="9">
        <f>IF(L88=1,"Исключено: дубль",IF(M88=1,"Исключено: нет объекта",IF(N88=1,"Исключено: валюта",IF(O88=1,"Исключено: возврат/статус",IF(S88=1,"На проверке","OK")))))</f>
        <v/>
      </c>
      <c r="V88" s="25">
        <f>SUMIFS(commission_rules!$D$2:$D$21,commission_rules!$A$2:$A$21,B88,commission_rules!$B$2:$B$21,"&lt;="&amp;C88,commission_rules!$C$2:$C$21,"&gt;="&amp;C88)</f>
        <v/>
      </c>
      <c r="W88" s="10">
        <f>F88-I88</f>
        <v/>
      </c>
      <c r="X88" s="10">
        <f>IF(F88=0,0,H88*W88/F88)</f>
        <v/>
      </c>
      <c r="Y88" s="10">
        <f>V88*W88</f>
        <v/>
      </c>
      <c r="Z88" s="10">
        <f>W88-X88</f>
        <v/>
      </c>
      <c r="AA88" s="10">
        <f>SUMIFS(calc_payments!$N$2:$N$77,calc_payments!$B$2:$B$77,A88)</f>
        <v/>
      </c>
      <c r="AB88" s="10">
        <f>AA88-Z88</f>
        <v/>
      </c>
      <c r="AC88" s="9">
        <f>IF(T88=0,"",IF(AA88=0,IF(Z88=0,"нечего получать","нет платежа"),IF(ABS(AB88)&lt;1,"сходится","расхождение")))</f>
        <v/>
      </c>
      <c r="AD88" s="9">
        <f>MAX(0,MIN(D88,Dashboard!$C$6+1)-MAX(C88,Dashboard!$C$5))</f>
        <v/>
      </c>
      <c r="AE88" s="26">
        <f>IF(K88=0,0,AD88/K88)*T88</f>
        <v/>
      </c>
      <c r="AF88" s="10">
        <f>F88*AE88</f>
        <v/>
      </c>
      <c r="AG88" s="10">
        <f>I88*AE88</f>
        <v/>
      </c>
      <c r="AH88" s="10">
        <f>W88*AE88</f>
        <v/>
      </c>
      <c r="AI88" s="10">
        <f>X88*AE88</f>
        <v/>
      </c>
      <c r="AJ88" s="10">
        <f>Y88*AE88</f>
        <v/>
      </c>
      <c r="AK88" s="9">
        <f>IF(AND(T88=1,AD88&gt;0),1,0)</f>
        <v/>
      </c>
      <c r="AL88" s="10">
        <f>Z88*AK88</f>
        <v/>
      </c>
      <c r="AM88" s="10">
        <f>AA88*AK88</f>
        <v/>
      </c>
      <c r="AN88" s="9">
        <f>AD88*T88</f>
        <v/>
      </c>
      <c r="AO88" s="9">
        <f>S88*AK88</f>
        <v/>
      </c>
    </row>
    <row r="89">
      <c r="A89" s="9">
        <f>raw_reservations!A89</f>
        <v/>
      </c>
      <c r="B89" s="9">
        <f>raw_reservations!B89</f>
        <v/>
      </c>
      <c r="C89" s="24">
        <f>raw_reservations!C89</f>
        <v/>
      </c>
      <c r="D89" s="24">
        <f>raw_reservations!D89</f>
        <v/>
      </c>
      <c r="E89" s="9">
        <f>raw_reservations!E89</f>
        <v/>
      </c>
      <c r="F89" s="10">
        <f>raw_reservations!F89</f>
        <v/>
      </c>
      <c r="G89" s="9">
        <f>raw_reservations!G89</f>
        <v/>
      </c>
      <c r="H89" s="10">
        <f>raw_reservations!H89</f>
        <v/>
      </c>
      <c r="I89" s="10">
        <f>raw_reservations!I89</f>
        <v/>
      </c>
      <c r="J89" s="9">
        <f>raw_reservations!J89</f>
        <v/>
      </c>
      <c r="K89" s="9">
        <f>D89-C89</f>
        <v/>
      </c>
      <c r="L89" s="9">
        <f>IF(COUNTIF(A$2:A89,A89)&gt;1,1,0)</f>
        <v/>
      </c>
      <c r="M89" s="9">
        <f>IF(COUNTIF(properties!$A$2:$A$21,B89)=0,1,0)</f>
        <v/>
      </c>
      <c r="N89" s="9">
        <f>IF(M89=1,0,IF(G89&lt;&gt;INDEX(properties!$E$2:$E$21,MATCH(B89,properties!$A$2:$A$21,0)),1,0))</f>
        <v/>
      </c>
      <c r="O89" s="9">
        <f>IF(OR(I89&gt;F89,AND(E89&lt;&gt;"cancelled",I89&gt;0)),1,0)</f>
        <v/>
      </c>
      <c r="P89" s="9">
        <f>IF(H89&lt;0,1,0)</f>
        <v/>
      </c>
      <c r="Q89" s="9">
        <f>IF(L89+M89+N89+O89=0,1,0)</f>
        <v/>
      </c>
      <c r="R89" s="9">
        <f>IF(AND(Q89=1,E89&lt;&gt;"cancelled"),COUNTIFS($B$2:$B$152,B89,$Q$2:$Q$152,1,$E$2:$E$152,"&lt;&gt;cancelled",$C$2:$C$152,"&lt;"&amp;D89,$D$2:$D$152,"&gt;"&amp;C89)-1,0)</f>
        <v/>
      </c>
      <c r="S89" s="9">
        <f>IF(AND(Q89=1,OR(R89&gt;0,P89=1)),1,0)</f>
        <v/>
      </c>
      <c r="T89" s="9">
        <f>IF(Q89=0,0,IF(AND(S89=1,Dashboard!$C$7="Нет"),0,1))</f>
        <v/>
      </c>
      <c r="U89" s="9">
        <f>IF(L89=1,"Исключено: дубль",IF(M89=1,"Исключено: нет объекта",IF(N89=1,"Исключено: валюта",IF(O89=1,"Исключено: возврат/статус",IF(S89=1,"На проверке","OK")))))</f>
        <v/>
      </c>
      <c r="V89" s="25">
        <f>SUMIFS(commission_rules!$D$2:$D$21,commission_rules!$A$2:$A$21,B89,commission_rules!$B$2:$B$21,"&lt;="&amp;C89,commission_rules!$C$2:$C$21,"&gt;="&amp;C89)</f>
        <v/>
      </c>
      <c r="W89" s="10">
        <f>F89-I89</f>
        <v/>
      </c>
      <c r="X89" s="10">
        <f>IF(F89=0,0,H89*W89/F89)</f>
        <v/>
      </c>
      <c r="Y89" s="10">
        <f>V89*W89</f>
        <v/>
      </c>
      <c r="Z89" s="10">
        <f>W89-X89</f>
        <v/>
      </c>
      <c r="AA89" s="10">
        <f>SUMIFS(calc_payments!$N$2:$N$77,calc_payments!$B$2:$B$77,A89)</f>
        <v/>
      </c>
      <c r="AB89" s="10">
        <f>AA89-Z89</f>
        <v/>
      </c>
      <c r="AC89" s="9">
        <f>IF(T89=0,"",IF(AA89=0,IF(Z89=0,"нечего получать","нет платежа"),IF(ABS(AB89)&lt;1,"сходится","расхождение")))</f>
        <v/>
      </c>
      <c r="AD89" s="9">
        <f>MAX(0,MIN(D89,Dashboard!$C$6+1)-MAX(C89,Dashboard!$C$5))</f>
        <v/>
      </c>
      <c r="AE89" s="26">
        <f>IF(K89=0,0,AD89/K89)*T89</f>
        <v/>
      </c>
      <c r="AF89" s="10">
        <f>F89*AE89</f>
        <v/>
      </c>
      <c r="AG89" s="10">
        <f>I89*AE89</f>
        <v/>
      </c>
      <c r="AH89" s="10">
        <f>W89*AE89</f>
        <v/>
      </c>
      <c r="AI89" s="10">
        <f>X89*AE89</f>
        <v/>
      </c>
      <c r="AJ89" s="10">
        <f>Y89*AE89</f>
        <v/>
      </c>
      <c r="AK89" s="9">
        <f>IF(AND(T89=1,AD89&gt;0),1,0)</f>
        <v/>
      </c>
      <c r="AL89" s="10">
        <f>Z89*AK89</f>
        <v/>
      </c>
      <c r="AM89" s="10">
        <f>AA89*AK89</f>
        <v/>
      </c>
      <c r="AN89" s="9">
        <f>AD89*T89</f>
        <v/>
      </c>
      <c r="AO89" s="9">
        <f>S89*AK89</f>
        <v/>
      </c>
    </row>
    <row r="90">
      <c r="A90" s="9">
        <f>raw_reservations!A90</f>
        <v/>
      </c>
      <c r="B90" s="9">
        <f>raw_reservations!B90</f>
        <v/>
      </c>
      <c r="C90" s="24">
        <f>raw_reservations!C90</f>
        <v/>
      </c>
      <c r="D90" s="24">
        <f>raw_reservations!D90</f>
        <v/>
      </c>
      <c r="E90" s="9">
        <f>raw_reservations!E90</f>
        <v/>
      </c>
      <c r="F90" s="10">
        <f>raw_reservations!F90</f>
        <v/>
      </c>
      <c r="G90" s="9">
        <f>raw_reservations!G90</f>
        <v/>
      </c>
      <c r="H90" s="10">
        <f>raw_reservations!H90</f>
        <v/>
      </c>
      <c r="I90" s="10">
        <f>raw_reservations!I90</f>
        <v/>
      </c>
      <c r="J90" s="9">
        <f>raw_reservations!J90</f>
        <v/>
      </c>
      <c r="K90" s="9">
        <f>D90-C90</f>
        <v/>
      </c>
      <c r="L90" s="9">
        <f>IF(COUNTIF(A$2:A90,A90)&gt;1,1,0)</f>
        <v/>
      </c>
      <c r="M90" s="9">
        <f>IF(COUNTIF(properties!$A$2:$A$21,B90)=0,1,0)</f>
        <v/>
      </c>
      <c r="N90" s="9">
        <f>IF(M90=1,0,IF(G90&lt;&gt;INDEX(properties!$E$2:$E$21,MATCH(B90,properties!$A$2:$A$21,0)),1,0))</f>
        <v/>
      </c>
      <c r="O90" s="9">
        <f>IF(OR(I90&gt;F90,AND(E90&lt;&gt;"cancelled",I90&gt;0)),1,0)</f>
        <v/>
      </c>
      <c r="P90" s="9">
        <f>IF(H90&lt;0,1,0)</f>
        <v/>
      </c>
      <c r="Q90" s="9">
        <f>IF(L90+M90+N90+O90=0,1,0)</f>
        <v/>
      </c>
      <c r="R90" s="9">
        <f>IF(AND(Q90=1,E90&lt;&gt;"cancelled"),COUNTIFS($B$2:$B$152,B90,$Q$2:$Q$152,1,$E$2:$E$152,"&lt;&gt;cancelled",$C$2:$C$152,"&lt;"&amp;D90,$D$2:$D$152,"&gt;"&amp;C90)-1,0)</f>
        <v/>
      </c>
      <c r="S90" s="9">
        <f>IF(AND(Q90=1,OR(R90&gt;0,P90=1)),1,0)</f>
        <v/>
      </c>
      <c r="T90" s="9">
        <f>IF(Q90=0,0,IF(AND(S90=1,Dashboard!$C$7="Нет"),0,1))</f>
        <v/>
      </c>
      <c r="U90" s="9">
        <f>IF(L90=1,"Исключено: дубль",IF(M90=1,"Исключено: нет объекта",IF(N90=1,"Исключено: валюта",IF(O90=1,"Исключено: возврат/статус",IF(S90=1,"На проверке","OK")))))</f>
        <v/>
      </c>
      <c r="V90" s="25">
        <f>SUMIFS(commission_rules!$D$2:$D$21,commission_rules!$A$2:$A$21,B90,commission_rules!$B$2:$B$21,"&lt;="&amp;C90,commission_rules!$C$2:$C$21,"&gt;="&amp;C90)</f>
        <v/>
      </c>
      <c r="W90" s="10">
        <f>F90-I90</f>
        <v/>
      </c>
      <c r="X90" s="10">
        <f>IF(F90=0,0,H90*W90/F90)</f>
        <v/>
      </c>
      <c r="Y90" s="10">
        <f>V90*W90</f>
        <v/>
      </c>
      <c r="Z90" s="10">
        <f>W90-X90</f>
        <v/>
      </c>
      <c r="AA90" s="10">
        <f>SUMIFS(calc_payments!$N$2:$N$77,calc_payments!$B$2:$B$77,A90)</f>
        <v/>
      </c>
      <c r="AB90" s="10">
        <f>AA90-Z90</f>
        <v/>
      </c>
      <c r="AC90" s="9">
        <f>IF(T90=0,"",IF(AA90=0,IF(Z90=0,"нечего получать","нет платежа"),IF(ABS(AB90)&lt;1,"сходится","расхождение")))</f>
        <v/>
      </c>
      <c r="AD90" s="9">
        <f>MAX(0,MIN(D90,Dashboard!$C$6+1)-MAX(C90,Dashboard!$C$5))</f>
        <v/>
      </c>
      <c r="AE90" s="26">
        <f>IF(K90=0,0,AD90/K90)*T90</f>
        <v/>
      </c>
      <c r="AF90" s="10">
        <f>F90*AE90</f>
        <v/>
      </c>
      <c r="AG90" s="10">
        <f>I90*AE90</f>
        <v/>
      </c>
      <c r="AH90" s="10">
        <f>W90*AE90</f>
        <v/>
      </c>
      <c r="AI90" s="10">
        <f>X90*AE90</f>
        <v/>
      </c>
      <c r="AJ90" s="10">
        <f>Y90*AE90</f>
        <v/>
      </c>
      <c r="AK90" s="9">
        <f>IF(AND(T90=1,AD90&gt;0),1,0)</f>
        <v/>
      </c>
      <c r="AL90" s="10">
        <f>Z90*AK90</f>
        <v/>
      </c>
      <c r="AM90" s="10">
        <f>AA90*AK90</f>
        <v/>
      </c>
      <c r="AN90" s="9">
        <f>AD90*T90</f>
        <v/>
      </c>
      <c r="AO90" s="9">
        <f>S90*AK90</f>
        <v/>
      </c>
    </row>
    <row r="91">
      <c r="A91" s="9">
        <f>raw_reservations!A91</f>
        <v/>
      </c>
      <c r="B91" s="9">
        <f>raw_reservations!B91</f>
        <v/>
      </c>
      <c r="C91" s="24">
        <f>raw_reservations!C91</f>
        <v/>
      </c>
      <c r="D91" s="24">
        <f>raw_reservations!D91</f>
        <v/>
      </c>
      <c r="E91" s="9">
        <f>raw_reservations!E91</f>
        <v/>
      </c>
      <c r="F91" s="10">
        <f>raw_reservations!F91</f>
        <v/>
      </c>
      <c r="G91" s="9">
        <f>raw_reservations!G91</f>
        <v/>
      </c>
      <c r="H91" s="10">
        <f>raw_reservations!H91</f>
        <v/>
      </c>
      <c r="I91" s="10">
        <f>raw_reservations!I91</f>
        <v/>
      </c>
      <c r="J91" s="9">
        <f>raw_reservations!J91</f>
        <v/>
      </c>
      <c r="K91" s="9">
        <f>D91-C91</f>
        <v/>
      </c>
      <c r="L91" s="9">
        <f>IF(COUNTIF(A$2:A91,A91)&gt;1,1,0)</f>
        <v/>
      </c>
      <c r="M91" s="9">
        <f>IF(COUNTIF(properties!$A$2:$A$21,B91)=0,1,0)</f>
        <v/>
      </c>
      <c r="N91" s="9">
        <f>IF(M91=1,0,IF(G91&lt;&gt;INDEX(properties!$E$2:$E$21,MATCH(B91,properties!$A$2:$A$21,0)),1,0))</f>
        <v/>
      </c>
      <c r="O91" s="9">
        <f>IF(OR(I91&gt;F91,AND(E91&lt;&gt;"cancelled",I91&gt;0)),1,0)</f>
        <v/>
      </c>
      <c r="P91" s="9">
        <f>IF(H91&lt;0,1,0)</f>
        <v/>
      </c>
      <c r="Q91" s="9">
        <f>IF(L91+M91+N91+O91=0,1,0)</f>
        <v/>
      </c>
      <c r="R91" s="9">
        <f>IF(AND(Q91=1,E91&lt;&gt;"cancelled"),COUNTIFS($B$2:$B$152,B91,$Q$2:$Q$152,1,$E$2:$E$152,"&lt;&gt;cancelled",$C$2:$C$152,"&lt;"&amp;D91,$D$2:$D$152,"&gt;"&amp;C91)-1,0)</f>
        <v/>
      </c>
      <c r="S91" s="9">
        <f>IF(AND(Q91=1,OR(R91&gt;0,P91=1)),1,0)</f>
        <v/>
      </c>
      <c r="T91" s="9">
        <f>IF(Q91=0,0,IF(AND(S91=1,Dashboard!$C$7="Нет"),0,1))</f>
        <v/>
      </c>
      <c r="U91" s="9">
        <f>IF(L91=1,"Исключено: дубль",IF(M91=1,"Исключено: нет объекта",IF(N91=1,"Исключено: валюта",IF(O91=1,"Исключено: возврат/статус",IF(S91=1,"На проверке","OK")))))</f>
        <v/>
      </c>
      <c r="V91" s="25">
        <f>SUMIFS(commission_rules!$D$2:$D$21,commission_rules!$A$2:$A$21,B91,commission_rules!$B$2:$B$21,"&lt;="&amp;C91,commission_rules!$C$2:$C$21,"&gt;="&amp;C91)</f>
        <v/>
      </c>
      <c r="W91" s="10">
        <f>F91-I91</f>
        <v/>
      </c>
      <c r="X91" s="10">
        <f>IF(F91=0,0,H91*W91/F91)</f>
        <v/>
      </c>
      <c r="Y91" s="10">
        <f>V91*W91</f>
        <v/>
      </c>
      <c r="Z91" s="10">
        <f>W91-X91</f>
        <v/>
      </c>
      <c r="AA91" s="10">
        <f>SUMIFS(calc_payments!$N$2:$N$77,calc_payments!$B$2:$B$77,A91)</f>
        <v/>
      </c>
      <c r="AB91" s="10">
        <f>AA91-Z91</f>
        <v/>
      </c>
      <c r="AC91" s="9">
        <f>IF(T91=0,"",IF(AA91=0,IF(Z91=0,"нечего получать","нет платежа"),IF(ABS(AB91)&lt;1,"сходится","расхождение")))</f>
        <v/>
      </c>
      <c r="AD91" s="9">
        <f>MAX(0,MIN(D91,Dashboard!$C$6+1)-MAX(C91,Dashboard!$C$5))</f>
        <v/>
      </c>
      <c r="AE91" s="26">
        <f>IF(K91=0,0,AD91/K91)*T91</f>
        <v/>
      </c>
      <c r="AF91" s="10">
        <f>F91*AE91</f>
        <v/>
      </c>
      <c r="AG91" s="10">
        <f>I91*AE91</f>
        <v/>
      </c>
      <c r="AH91" s="10">
        <f>W91*AE91</f>
        <v/>
      </c>
      <c r="AI91" s="10">
        <f>X91*AE91</f>
        <v/>
      </c>
      <c r="AJ91" s="10">
        <f>Y91*AE91</f>
        <v/>
      </c>
      <c r="AK91" s="9">
        <f>IF(AND(T91=1,AD91&gt;0),1,0)</f>
        <v/>
      </c>
      <c r="AL91" s="10">
        <f>Z91*AK91</f>
        <v/>
      </c>
      <c r="AM91" s="10">
        <f>AA91*AK91</f>
        <v/>
      </c>
      <c r="AN91" s="9">
        <f>AD91*T91</f>
        <v/>
      </c>
      <c r="AO91" s="9">
        <f>S91*AK91</f>
        <v/>
      </c>
    </row>
    <row r="92">
      <c r="A92" s="9">
        <f>raw_reservations!A92</f>
        <v/>
      </c>
      <c r="B92" s="9">
        <f>raw_reservations!B92</f>
        <v/>
      </c>
      <c r="C92" s="24">
        <f>raw_reservations!C92</f>
        <v/>
      </c>
      <c r="D92" s="24">
        <f>raw_reservations!D92</f>
        <v/>
      </c>
      <c r="E92" s="9">
        <f>raw_reservations!E92</f>
        <v/>
      </c>
      <c r="F92" s="10">
        <f>raw_reservations!F92</f>
        <v/>
      </c>
      <c r="G92" s="9">
        <f>raw_reservations!G92</f>
        <v/>
      </c>
      <c r="H92" s="10">
        <f>raw_reservations!H92</f>
        <v/>
      </c>
      <c r="I92" s="10">
        <f>raw_reservations!I92</f>
        <v/>
      </c>
      <c r="J92" s="9">
        <f>raw_reservations!J92</f>
        <v/>
      </c>
      <c r="K92" s="9">
        <f>D92-C92</f>
        <v/>
      </c>
      <c r="L92" s="9">
        <f>IF(COUNTIF(A$2:A92,A92)&gt;1,1,0)</f>
        <v/>
      </c>
      <c r="M92" s="9">
        <f>IF(COUNTIF(properties!$A$2:$A$21,B92)=0,1,0)</f>
        <v/>
      </c>
      <c r="N92" s="9">
        <f>IF(M92=1,0,IF(G92&lt;&gt;INDEX(properties!$E$2:$E$21,MATCH(B92,properties!$A$2:$A$21,0)),1,0))</f>
        <v/>
      </c>
      <c r="O92" s="9">
        <f>IF(OR(I92&gt;F92,AND(E92&lt;&gt;"cancelled",I92&gt;0)),1,0)</f>
        <v/>
      </c>
      <c r="P92" s="9">
        <f>IF(H92&lt;0,1,0)</f>
        <v/>
      </c>
      <c r="Q92" s="9">
        <f>IF(L92+M92+N92+O92=0,1,0)</f>
        <v/>
      </c>
      <c r="R92" s="9">
        <f>IF(AND(Q92=1,E92&lt;&gt;"cancelled"),COUNTIFS($B$2:$B$152,B92,$Q$2:$Q$152,1,$E$2:$E$152,"&lt;&gt;cancelled",$C$2:$C$152,"&lt;"&amp;D92,$D$2:$D$152,"&gt;"&amp;C92)-1,0)</f>
        <v/>
      </c>
      <c r="S92" s="9">
        <f>IF(AND(Q92=1,OR(R92&gt;0,P92=1)),1,0)</f>
        <v/>
      </c>
      <c r="T92" s="9">
        <f>IF(Q92=0,0,IF(AND(S92=1,Dashboard!$C$7="Нет"),0,1))</f>
        <v/>
      </c>
      <c r="U92" s="9">
        <f>IF(L92=1,"Исключено: дубль",IF(M92=1,"Исключено: нет объекта",IF(N92=1,"Исключено: валюта",IF(O92=1,"Исключено: возврат/статус",IF(S92=1,"На проверке","OK")))))</f>
        <v/>
      </c>
      <c r="V92" s="25">
        <f>SUMIFS(commission_rules!$D$2:$D$21,commission_rules!$A$2:$A$21,B92,commission_rules!$B$2:$B$21,"&lt;="&amp;C92,commission_rules!$C$2:$C$21,"&gt;="&amp;C92)</f>
        <v/>
      </c>
      <c r="W92" s="10">
        <f>F92-I92</f>
        <v/>
      </c>
      <c r="X92" s="10">
        <f>IF(F92=0,0,H92*W92/F92)</f>
        <v/>
      </c>
      <c r="Y92" s="10">
        <f>V92*W92</f>
        <v/>
      </c>
      <c r="Z92" s="10">
        <f>W92-X92</f>
        <v/>
      </c>
      <c r="AA92" s="10">
        <f>SUMIFS(calc_payments!$N$2:$N$77,calc_payments!$B$2:$B$77,A92)</f>
        <v/>
      </c>
      <c r="AB92" s="10">
        <f>AA92-Z92</f>
        <v/>
      </c>
      <c r="AC92" s="9">
        <f>IF(T92=0,"",IF(AA92=0,IF(Z92=0,"нечего получать","нет платежа"),IF(ABS(AB92)&lt;1,"сходится","расхождение")))</f>
        <v/>
      </c>
      <c r="AD92" s="9">
        <f>MAX(0,MIN(D92,Dashboard!$C$6+1)-MAX(C92,Dashboard!$C$5))</f>
        <v/>
      </c>
      <c r="AE92" s="26">
        <f>IF(K92=0,0,AD92/K92)*T92</f>
        <v/>
      </c>
      <c r="AF92" s="10">
        <f>F92*AE92</f>
        <v/>
      </c>
      <c r="AG92" s="10">
        <f>I92*AE92</f>
        <v/>
      </c>
      <c r="AH92" s="10">
        <f>W92*AE92</f>
        <v/>
      </c>
      <c r="AI92" s="10">
        <f>X92*AE92</f>
        <v/>
      </c>
      <c r="AJ92" s="10">
        <f>Y92*AE92</f>
        <v/>
      </c>
      <c r="AK92" s="9">
        <f>IF(AND(T92=1,AD92&gt;0),1,0)</f>
        <v/>
      </c>
      <c r="AL92" s="10">
        <f>Z92*AK92</f>
        <v/>
      </c>
      <c r="AM92" s="10">
        <f>AA92*AK92</f>
        <v/>
      </c>
      <c r="AN92" s="9">
        <f>AD92*T92</f>
        <v/>
      </c>
      <c r="AO92" s="9">
        <f>S92*AK92</f>
        <v/>
      </c>
    </row>
    <row r="93">
      <c r="A93" s="9">
        <f>raw_reservations!A93</f>
        <v/>
      </c>
      <c r="B93" s="9">
        <f>raw_reservations!B93</f>
        <v/>
      </c>
      <c r="C93" s="24">
        <f>raw_reservations!C93</f>
        <v/>
      </c>
      <c r="D93" s="24">
        <f>raw_reservations!D93</f>
        <v/>
      </c>
      <c r="E93" s="9">
        <f>raw_reservations!E93</f>
        <v/>
      </c>
      <c r="F93" s="10">
        <f>raw_reservations!F93</f>
        <v/>
      </c>
      <c r="G93" s="9">
        <f>raw_reservations!G93</f>
        <v/>
      </c>
      <c r="H93" s="10">
        <f>raw_reservations!H93</f>
        <v/>
      </c>
      <c r="I93" s="10">
        <f>raw_reservations!I93</f>
        <v/>
      </c>
      <c r="J93" s="9">
        <f>raw_reservations!J93</f>
        <v/>
      </c>
      <c r="K93" s="9">
        <f>D93-C93</f>
        <v/>
      </c>
      <c r="L93" s="9">
        <f>IF(COUNTIF(A$2:A93,A93)&gt;1,1,0)</f>
        <v/>
      </c>
      <c r="M93" s="9">
        <f>IF(COUNTIF(properties!$A$2:$A$21,B93)=0,1,0)</f>
        <v/>
      </c>
      <c r="N93" s="9">
        <f>IF(M93=1,0,IF(G93&lt;&gt;INDEX(properties!$E$2:$E$21,MATCH(B93,properties!$A$2:$A$21,0)),1,0))</f>
        <v/>
      </c>
      <c r="O93" s="9">
        <f>IF(OR(I93&gt;F93,AND(E93&lt;&gt;"cancelled",I93&gt;0)),1,0)</f>
        <v/>
      </c>
      <c r="P93" s="9">
        <f>IF(H93&lt;0,1,0)</f>
        <v/>
      </c>
      <c r="Q93" s="9">
        <f>IF(L93+M93+N93+O93=0,1,0)</f>
        <v/>
      </c>
      <c r="R93" s="9">
        <f>IF(AND(Q93=1,E93&lt;&gt;"cancelled"),COUNTIFS($B$2:$B$152,B93,$Q$2:$Q$152,1,$E$2:$E$152,"&lt;&gt;cancelled",$C$2:$C$152,"&lt;"&amp;D93,$D$2:$D$152,"&gt;"&amp;C93)-1,0)</f>
        <v/>
      </c>
      <c r="S93" s="9">
        <f>IF(AND(Q93=1,OR(R93&gt;0,P93=1)),1,0)</f>
        <v/>
      </c>
      <c r="T93" s="9">
        <f>IF(Q93=0,0,IF(AND(S93=1,Dashboard!$C$7="Нет"),0,1))</f>
        <v/>
      </c>
      <c r="U93" s="9">
        <f>IF(L93=1,"Исключено: дубль",IF(M93=1,"Исключено: нет объекта",IF(N93=1,"Исключено: валюта",IF(O93=1,"Исключено: возврат/статус",IF(S93=1,"На проверке","OK")))))</f>
        <v/>
      </c>
      <c r="V93" s="25">
        <f>SUMIFS(commission_rules!$D$2:$D$21,commission_rules!$A$2:$A$21,B93,commission_rules!$B$2:$B$21,"&lt;="&amp;C93,commission_rules!$C$2:$C$21,"&gt;="&amp;C93)</f>
        <v/>
      </c>
      <c r="W93" s="10">
        <f>F93-I93</f>
        <v/>
      </c>
      <c r="X93" s="10">
        <f>IF(F93=0,0,H93*W93/F93)</f>
        <v/>
      </c>
      <c r="Y93" s="10">
        <f>V93*W93</f>
        <v/>
      </c>
      <c r="Z93" s="10">
        <f>W93-X93</f>
        <v/>
      </c>
      <c r="AA93" s="10">
        <f>SUMIFS(calc_payments!$N$2:$N$77,calc_payments!$B$2:$B$77,A93)</f>
        <v/>
      </c>
      <c r="AB93" s="10">
        <f>AA93-Z93</f>
        <v/>
      </c>
      <c r="AC93" s="9">
        <f>IF(T93=0,"",IF(AA93=0,IF(Z93=0,"нечего получать","нет платежа"),IF(ABS(AB93)&lt;1,"сходится","расхождение")))</f>
        <v/>
      </c>
      <c r="AD93" s="9">
        <f>MAX(0,MIN(D93,Dashboard!$C$6+1)-MAX(C93,Dashboard!$C$5))</f>
        <v/>
      </c>
      <c r="AE93" s="26">
        <f>IF(K93=0,0,AD93/K93)*T93</f>
        <v/>
      </c>
      <c r="AF93" s="10">
        <f>F93*AE93</f>
        <v/>
      </c>
      <c r="AG93" s="10">
        <f>I93*AE93</f>
        <v/>
      </c>
      <c r="AH93" s="10">
        <f>W93*AE93</f>
        <v/>
      </c>
      <c r="AI93" s="10">
        <f>X93*AE93</f>
        <v/>
      </c>
      <c r="AJ93" s="10">
        <f>Y93*AE93</f>
        <v/>
      </c>
      <c r="AK93" s="9">
        <f>IF(AND(T93=1,AD93&gt;0),1,0)</f>
        <v/>
      </c>
      <c r="AL93" s="10">
        <f>Z93*AK93</f>
        <v/>
      </c>
      <c r="AM93" s="10">
        <f>AA93*AK93</f>
        <v/>
      </c>
      <c r="AN93" s="9">
        <f>AD93*T93</f>
        <v/>
      </c>
      <c r="AO93" s="9">
        <f>S93*AK93</f>
        <v/>
      </c>
    </row>
    <row r="94">
      <c r="A94" s="9">
        <f>raw_reservations!A94</f>
        <v/>
      </c>
      <c r="B94" s="9">
        <f>raw_reservations!B94</f>
        <v/>
      </c>
      <c r="C94" s="24">
        <f>raw_reservations!C94</f>
        <v/>
      </c>
      <c r="D94" s="24">
        <f>raw_reservations!D94</f>
        <v/>
      </c>
      <c r="E94" s="9">
        <f>raw_reservations!E94</f>
        <v/>
      </c>
      <c r="F94" s="10">
        <f>raw_reservations!F94</f>
        <v/>
      </c>
      <c r="G94" s="9">
        <f>raw_reservations!G94</f>
        <v/>
      </c>
      <c r="H94" s="10">
        <f>raw_reservations!H94</f>
        <v/>
      </c>
      <c r="I94" s="10">
        <f>raw_reservations!I94</f>
        <v/>
      </c>
      <c r="J94" s="9">
        <f>raw_reservations!J94</f>
        <v/>
      </c>
      <c r="K94" s="9">
        <f>D94-C94</f>
        <v/>
      </c>
      <c r="L94" s="9">
        <f>IF(COUNTIF(A$2:A94,A94)&gt;1,1,0)</f>
        <v/>
      </c>
      <c r="M94" s="9">
        <f>IF(COUNTIF(properties!$A$2:$A$21,B94)=0,1,0)</f>
        <v/>
      </c>
      <c r="N94" s="9">
        <f>IF(M94=1,0,IF(G94&lt;&gt;INDEX(properties!$E$2:$E$21,MATCH(B94,properties!$A$2:$A$21,0)),1,0))</f>
        <v/>
      </c>
      <c r="O94" s="9">
        <f>IF(OR(I94&gt;F94,AND(E94&lt;&gt;"cancelled",I94&gt;0)),1,0)</f>
        <v/>
      </c>
      <c r="P94" s="9">
        <f>IF(H94&lt;0,1,0)</f>
        <v/>
      </c>
      <c r="Q94" s="9">
        <f>IF(L94+M94+N94+O94=0,1,0)</f>
        <v/>
      </c>
      <c r="R94" s="9">
        <f>IF(AND(Q94=1,E94&lt;&gt;"cancelled"),COUNTIFS($B$2:$B$152,B94,$Q$2:$Q$152,1,$E$2:$E$152,"&lt;&gt;cancelled",$C$2:$C$152,"&lt;"&amp;D94,$D$2:$D$152,"&gt;"&amp;C94)-1,0)</f>
        <v/>
      </c>
      <c r="S94" s="9">
        <f>IF(AND(Q94=1,OR(R94&gt;0,P94=1)),1,0)</f>
        <v/>
      </c>
      <c r="T94" s="9">
        <f>IF(Q94=0,0,IF(AND(S94=1,Dashboard!$C$7="Нет"),0,1))</f>
        <v/>
      </c>
      <c r="U94" s="9">
        <f>IF(L94=1,"Исключено: дубль",IF(M94=1,"Исключено: нет объекта",IF(N94=1,"Исключено: валюта",IF(O94=1,"Исключено: возврат/статус",IF(S94=1,"На проверке","OK")))))</f>
        <v/>
      </c>
      <c r="V94" s="25">
        <f>SUMIFS(commission_rules!$D$2:$D$21,commission_rules!$A$2:$A$21,B94,commission_rules!$B$2:$B$21,"&lt;="&amp;C94,commission_rules!$C$2:$C$21,"&gt;="&amp;C94)</f>
        <v/>
      </c>
      <c r="W94" s="10">
        <f>F94-I94</f>
        <v/>
      </c>
      <c r="X94" s="10">
        <f>IF(F94=0,0,H94*W94/F94)</f>
        <v/>
      </c>
      <c r="Y94" s="10">
        <f>V94*W94</f>
        <v/>
      </c>
      <c r="Z94" s="10">
        <f>W94-X94</f>
        <v/>
      </c>
      <c r="AA94" s="10">
        <f>SUMIFS(calc_payments!$N$2:$N$77,calc_payments!$B$2:$B$77,A94)</f>
        <v/>
      </c>
      <c r="AB94" s="10">
        <f>AA94-Z94</f>
        <v/>
      </c>
      <c r="AC94" s="9">
        <f>IF(T94=0,"",IF(AA94=0,IF(Z94=0,"нечего получать","нет платежа"),IF(ABS(AB94)&lt;1,"сходится","расхождение")))</f>
        <v/>
      </c>
      <c r="AD94" s="9">
        <f>MAX(0,MIN(D94,Dashboard!$C$6+1)-MAX(C94,Dashboard!$C$5))</f>
        <v/>
      </c>
      <c r="AE94" s="26">
        <f>IF(K94=0,0,AD94/K94)*T94</f>
        <v/>
      </c>
      <c r="AF94" s="10">
        <f>F94*AE94</f>
        <v/>
      </c>
      <c r="AG94" s="10">
        <f>I94*AE94</f>
        <v/>
      </c>
      <c r="AH94" s="10">
        <f>W94*AE94</f>
        <v/>
      </c>
      <c r="AI94" s="10">
        <f>X94*AE94</f>
        <v/>
      </c>
      <c r="AJ94" s="10">
        <f>Y94*AE94</f>
        <v/>
      </c>
      <c r="AK94" s="9">
        <f>IF(AND(T94=1,AD94&gt;0),1,0)</f>
        <v/>
      </c>
      <c r="AL94" s="10">
        <f>Z94*AK94</f>
        <v/>
      </c>
      <c r="AM94" s="10">
        <f>AA94*AK94</f>
        <v/>
      </c>
      <c r="AN94" s="9">
        <f>AD94*T94</f>
        <v/>
      </c>
      <c r="AO94" s="9">
        <f>S94*AK94</f>
        <v/>
      </c>
    </row>
    <row r="95">
      <c r="A95" s="9">
        <f>raw_reservations!A95</f>
        <v/>
      </c>
      <c r="B95" s="9">
        <f>raw_reservations!B95</f>
        <v/>
      </c>
      <c r="C95" s="24">
        <f>raw_reservations!C95</f>
        <v/>
      </c>
      <c r="D95" s="24">
        <f>raw_reservations!D95</f>
        <v/>
      </c>
      <c r="E95" s="9">
        <f>raw_reservations!E95</f>
        <v/>
      </c>
      <c r="F95" s="10">
        <f>raw_reservations!F95</f>
        <v/>
      </c>
      <c r="G95" s="9">
        <f>raw_reservations!G95</f>
        <v/>
      </c>
      <c r="H95" s="10">
        <f>raw_reservations!H95</f>
        <v/>
      </c>
      <c r="I95" s="10">
        <f>raw_reservations!I95</f>
        <v/>
      </c>
      <c r="J95" s="9">
        <f>raw_reservations!J95</f>
        <v/>
      </c>
      <c r="K95" s="9">
        <f>D95-C95</f>
        <v/>
      </c>
      <c r="L95" s="9">
        <f>IF(COUNTIF(A$2:A95,A95)&gt;1,1,0)</f>
        <v/>
      </c>
      <c r="M95" s="9">
        <f>IF(COUNTIF(properties!$A$2:$A$21,B95)=0,1,0)</f>
        <v/>
      </c>
      <c r="N95" s="9">
        <f>IF(M95=1,0,IF(G95&lt;&gt;INDEX(properties!$E$2:$E$21,MATCH(B95,properties!$A$2:$A$21,0)),1,0))</f>
        <v/>
      </c>
      <c r="O95" s="9">
        <f>IF(OR(I95&gt;F95,AND(E95&lt;&gt;"cancelled",I95&gt;0)),1,0)</f>
        <v/>
      </c>
      <c r="P95" s="9">
        <f>IF(H95&lt;0,1,0)</f>
        <v/>
      </c>
      <c r="Q95" s="9">
        <f>IF(L95+M95+N95+O95=0,1,0)</f>
        <v/>
      </c>
      <c r="R95" s="9">
        <f>IF(AND(Q95=1,E95&lt;&gt;"cancelled"),COUNTIFS($B$2:$B$152,B95,$Q$2:$Q$152,1,$E$2:$E$152,"&lt;&gt;cancelled",$C$2:$C$152,"&lt;"&amp;D95,$D$2:$D$152,"&gt;"&amp;C95)-1,0)</f>
        <v/>
      </c>
      <c r="S95" s="9">
        <f>IF(AND(Q95=1,OR(R95&gt;0,P95=1)),1,0)</f>
        <v/>
      </c>
      <c r="T95" s="9">
        <f>IF(Q95=0,0,IF(AND(S95=1,Dashboard!$C$7="Нет"),0,1))</f>
        <v/>
      </c>
      <c r="U95" s="9">
        <f>IF(L95=1,"Исключено: дубль",IF(M95=1,"Исключено: нет объекта",IF(N95=1,"Исключено: валюта",IF(O95=1,"Исключено: возврат/статус",IF(S95=1,"На проверке","OK")))))</f>
        <v/>
      </c>
      <c r="V95" s="25">
        <f>SUMIFS(commission_rules!$D$2:$D$21,commission_rules!$A$2:$A$21,B95,commission_rules!$B$2:$B$21,"&lt;="&amp;C95,commission_rules!$C$2:$C$21,"&gt;="&amp;C95)</f>
        <v/>
      </c>
      <c r="W95" s="10">
        <f>F95-I95</f>
        <v/>
      </c>
      <c r="X95" s="10">
        <f>IF(F95=0,0,H95*W95/F95)</f>
        <v/>
      </c>
      <c r="Y95" s="10">
        <f>V95*W95</f>
        <v/>
      </c>
      <c r="Z95" s="10">
        <f>W95-X95</f>
        <v/>
      </c>
      <c r="AA95" s="10">
        <f>SUMIFS(calc_payments!$N$2:$N$77,calc_payments!$B$2:$B$77,A95)</f>
        <v/>
      </c>
      <c r="AB95" s="10">
        <f>AA95-Z95</f>
        <v/>
      </c>
      <c r="AC95" s="9">
        <f>IF(T95=0,"",IF(AA95=0,IF(Z95=0,"нечего получать","нет платежа"),IF(ABS(AB95)&lt;1,"сходится","расхождение")))</f>
        <v/>
      </c>
      <c r="AD95" s="9">
        <f>MAX(0,MIN(D95,Dashboard!$C$6+1)-MAX(C95,Dashboard!$C$5))</f>
        <v/>
      </c>
      <c r="AE95" s="26">
        <f>IF(K95=0,0,AD95/K95)*T95</f>
        <v/>
      </c>
      <c r="AF95" s="10">
        <f>F95*AE95</f>
        <v/>
      </c>
      <c r="AG95" s="10">
        <f>I95*AE95</f>
        <v/>
      </c>
      <c r="AH95" s="10">
        <f>W95*AE95</f>
        <v/>
      </c>
      <c r="AI95" s="10">
        <f>X95*AE95</f>
        <v/>
      </c>
      <c r="AJ95" s="10">
        <f>Y95*AE95</f>
        <v/>
      </c>
      <c r="AK95" s="9">
        <f>IF(AND(T95=1,AD95&gt;0),1,0)</f>
        <v/>
      </c>
      <c r="AL95" s="10">
        <f>Z95*AK95</f>
        <v/>
      </c>
      <c r="AM95" s="10">
        <f>AA95*AK95</f>
        <v/>
      </c>
      <c r="AN95" s="9">
        <f>AD95*T95</f>
        <v/>
      </c>
      <c r="AO95" s="9">
        <f>S95*AK95</f>
        <v/>
      </c>
    </row>
    <row r="96">
      <c r="A96" s="9">
        <f>raw_reservations!A96</f>
        <v/>
      </c>
      <c r="B96" s="9">
        <f>raw_reservations!B96</f>
        <v/>
      </c>
      <c r="C96" s="24">
        <f>raw_reservations!C96</f>
        <v/>
      </c>
      <c r="D96" s="24">
        <f>raw_reservations!D96</f>
        <v/>
      </c>
      <c r="E96" s="9">
        <f>raw_reservations!E96</f>
        <v/>
      </c>
      <c r="F96" s="10">
        <f>raw_reservations!F96</f>
        <v/>
      </c>
      <c r="G96" s="9">
        <f>raw_reservations!G96</f>
        <v/>
      </c>
      <c r="H96" s="10">
        <f>raw_reservations!H96</f>
        <v/>
      </c>
      <c r="I96" s="10">
        <f>raw_reservations!I96</f>
        <v/>
      </c>
      <c r="J96" s="9">
        <f>raw_reservations!J96</f>
        <v/>
      </c>
      <c r="K96" s="9">
        <f>D96-C96</f>
        <v/>
      </c>
      <c r="L96" s="9">
        <f>IF(COUNTIF(A$2:A96,A96)&gt;1,1,0)</f>
        <v/>
      </c>
      <c r="M96" s="9">
        <f>IF(COUNTIF(properties!$A$2:$A$21,B96)=0,1,0)</f>
        <v/>
      </c>
      <c r="N96" s="9">
        <f>IF(M96=1,0,IF(G96&lt;&gt;INDEX(properties!$E$2:$E$21,MATCH(B96,properties!$A$2:$A$21,0)),1,0))</f>
        <v/>
      </c>
      <c r="O96" s="9">
        <f>IF(OR(I96&gt;F96,AND(E96&lt;&gt;"cancelled",I96&gt;0)),1,0)</f>
        <v/>
      </c>
      <c r="P96" s="9">
        <f>IF(H96&lt;0,1,0)</f>
        <v/>
      </c>
      <c r="Q96" s="9">
        <f>IF(L96+M96+N96+O96=0,1,0)</f>
        <v/>
      </c>
      <c r="R96" s="9">
        <f>IF(AND(Q96=1,E96&lt;&gt;"cancelled"),COUNTIFS($B$2:$B$152,B96,$Q$2:$Q$152,1,$E$2:$E$152,"&lt;&gt;cancelled",$C$2:$C$152,"&lt;"&amp;D96,$D$2:$D$152,"&gt;"&amp;C96)-1,0)</f>
        <v/>
      </c>
      <c r="S96" s="9">
        <f>IF(AND(Q96=1,OR(R96&gt;0,P96=1)),1,0)</f>
        <v/>
      </c>
      <c r="T96" s="9">
        <f>IF(Q96=0,0,IF(AND(S96=1,Dashboard!$C$7="Нет"),0,1))</f>
        <v/>
      </c>
      <c r="U96" s="9">
        <f>IF(L96=1,"Исключено: дубль",IF(M96=1,"Исключено: нет объекта",IF(N96=1,"Исключено: валюта",IF(O96=1,"Исключено: возврат/статус",IF(S96=1,"На проверке","OK")))))</f>
        <v/>
      </c>
      <c r="V96" s="25">
        <f>SUMIFS(commission_rules!$D$2:$D$21,commission_rules!$A$2:$A$21,B96,commission_rules!$B$2:$B$21,"&lt;="&amp;C96,commission_rules!$C$2:$C$21,"&gt;="&amp;C96)</f>
        <v/>
      </c>
      <c r="W96" s="10">
        <f>F96-I96</f>
        <v/>
      </c>
      <c r="X96" s="10">
        <f>IF(F96=0,0,H96*W96/F96)</f>
        <v/>
      </c>
      <c r="Y96" s="10">
        <f>V96*W96</f>
        <v/>
      </c>
      <c r="Z96" s="10">
        <f>W96-X96</f>
        <v/>
      </c>
      <c r="AA96" s="10">
        <f>SUMIFS(calc_payments!$N$2:$N$77,calc_payments!$B$2:$B$77,A96)</f>
        <v/>
      </c>
      <c r="AB96" s="10">
        <f>AA96-Z96</f>
        <v/>
      </c>
      <c r="AC96" s="9">
        <f>IF(T96=0,"",IF(AA96=0,IF(Z96=0,"нечего получать","нет платежа"),IF(ABS(AB96)&lt;1,"сходится","расхождение")))</f>
        <v/>
      </c>
      <c r="AD96" s="9">
        <f>MAX(0,MIN(D96,Dashboard!$C$6+1)-MAX(C96,Dashboard!$C$5))</f>
        <v/>
      </c>
      <c r="AE96" s="26">
        <f>IF(K96=0,0,AD96/K96)*T96</f>
        <v/>
      </c>
      <c r="AF96" s="10">
        <f>F96*AE96</f>
        <v/>
      </c>
      <c r="AG96" s="10">
        <f>I96*AE96</f>
        <v/>
      </c>
      <c r="AH96" s="10">
        <f>W96*AE96</f>
        <v/>
      </c>
      <c r="AI96" s="10">
        <f>X96*AE96</f>
        <v/>
      </c>
      <c r="AJ96" s="10">
        <f>Y96*AE96</f>
        <v/>
      </c>
      <c r="AK96" s="9">
        <f>IF(AND(T96=1,AD96&gt;0),1,0)</f>
        <v/>
      </c>
      <c r="AL96" s="10">
        <f>Z96*AK96</f>
        <v/>
      </c>
      <c r="AM96" s="10">
        <f>AA96*AK96</f>
        <v/>
      </c>
      <c r="AN96" s="9">
        <f>AD96*T96</f>
        <v/>
      </c>
      <c r="AO96" s="9">
        <f>S96*AK96</f>
        <v/>
      </c>
    </row>
    <row r="97">
      <c r="A97" s="9">
        <f>raw_reservations!A97</f>
        <v/>
      </c>
      <c r="B97" s="9">
        <f>raw_reservations!B97</f>
        <v/>
      </c>
      <c r="C97" s="24">
        <f>raw_reservations!C97</f>
        <v/>
      </c>
      <c r="D97" s="24">
        <f>raw_reservations!D97</f>
        <v/>
      </c>
      <c r="E97" s="9">
        <f>raw_reservations!E97</f>
        <v/>
      </c>
      <c r="F97" s="10">
        <f>raw_reservations!F97</f>
        <v/>
      </c>
      <c r="G97" s="9">
        <f>raw_reservations!G97</f>
        <v/>
      </c>
      <c r="H97" s="10">
        <f>raw_reservations!H97</f>
        <v/>
      </c>
      <c r="I97" s="10">
        <f>raw_reservations!I97</f>
        <v/>
      </c>
      <c r="J97" s="9">
        <f>raw_reservations!J97</f>
        <v/>
      </c>
      <c r="K97" s="9">
        <f>D97-C97</f>
        <v/>
      </c>
      <c r="L97" s="9">
        <f>IF(COUNTIF(A$2:A97,A97)&gt;1,1,0)</f>
        <v/>
      </c>
      <c r="M97" s="9">
        <f>IF(COUNTIF(properties!$A$2:$A$21,B97)=0,1,0)</f>
        <v/>
      </c>
      <c r="N97" s="9">
        <f>IF(M97=1,0,IF(G97&lt;&gt;INDEX(properties!$E$2:$E$21,MATCH(B97,properties!$A$2:$A$21,0)),1,0))</f>
        <v/>
      </c>
      <c r="O97" s="9">
        <f>IF(OR(I97&gt;F97,AND(E97&lt;&gt;"cancelled",I97&gt;0)),1,0)</f>
        <v/>
      </c>
      <c r="P97" s="9">
        <f>IF(H97&lt;0,1,0)</f>
        <v/>
      </c>
      <c r="Q97" s="9">
        <f>IF(L97+M97+N97+O97=0,1,0)</f>
        <v/>
      </c>
      <c r="R97" s="9">
        <f>IF(AND(Q97=1,E97&lt;&gt;"cancelled"),COUNTIFS($B$2:$B$152,B97,$Q$2:$Q$152,1,$E$2:$E$152,"&lt;&gt;cancelled",$C$2:$C$152,"&lt;"&amp;D97,$D$2:$D$152,"&gt;"&amp;C97)-1,0)</f>
        <v/>
      </c>
      <c r="S97" s="9">
        <f>IF(AND(Q97=1,OR(R97&gt;0,P97=1)),1,0)</f>
        <v/>
      </c>
      <c r="T97" s="9">
        <f>IF(Q97=0,0,IF(AND(S97=1,Dashboard!$C$7="Нет"),0,1))</f>
        <v/>
      </c>
      <c r="U97" s="9">
        <f>IF(L97=1,"Исключено: дубль",IF(M97=1,"Исключено: нет объекта",IF(N97=1,"Исключено: валюта",IF(O97=1,"Исключено: возврат/статус",IF(S97=1,"На проверке","OK")))))</f>
        <v/>
      </c>
      <c r="V97" s="25">
        <f>SUMIFS(commission_rules!$D$2:$D$21,commission_rules!$A$2:$A$21,B97,commission_rules!$B$2:$B$21,"&lt;="&amp;C97,commission_rules!$C$2:$C$21,"&gt;="&amp;C97)</f>
        <v/>
      </c>
      <c r="W97" s="10">
        <f>F97-I97</f>
        <v/>
      </c>
      <c r="X97" s="10">
        <f>IF(F97=0,0,H97*W97/F97)</f>
        <v/>
      </c>
      <c r="Y97" s="10">
        <f>V97*W97</f>
        <v/>
      </c>
      <c r="Z97" s="10">
        <f>W97-X97</f>
        <v/>
      </c>
      <c r="AA97" s="10">
        <f>SUMIFS(calc_payments!$N$2:$N$77,calc_payments!$B$2:$B$77,A97)</f>
        <v/>
      </c>
      <c r="AB97" s="10">
        <f>AA97-Z97</f>
        <v/>
      </c>
      <c r="AC97" s="9">
        <f>IF(T97=0,"",IF(AA97=0,IF(Z97=0,"нечего получать","нет платежа"),IF(ABS(AB97)&lt;1,"сходится","расхождение")))</f>
        <v/>
      </c>
      <c r="AD97" s="9">
        <f>MAX(0,MIN(D97,Dashboard!$C$6+1)-MAX(C97,Dashboard!$C$5))</f>
        <v/>
      </c>
      <c r="AE97" s="26">
        <f>IF(K97=0,0,AD97/K97)*T97</f>
        <v/>
      </c>
      <c r="AF97" s="10">
        <f>F97*AE97</f>
        <v/>
      </c>
      <c r="AG97" s="10">
        <f>I97*AE97</f>
        <v/>
      </c>
      <c r="AH97" s="10">
        <f>W97*AE97</f>
        <v/>
      </c>
      <c r="AI97" s="10">
        <f>X97*AE97</f>
        <v/>
      </c>
      <c r="AJ97" s="10">
        <f>Y97*AE97</f>
        <v/>
      </c>
      <c r="AK97" s="9">
        <f>IF(AND(T97=1,AD97&gt;0),1,0)</f>
        <v/>
      </c>
      <c r="AL97" s="10">
        <f>Z97*AK97</f>
        <v/>
      </c>
      <c r="AM97" s="10">
        <f>AA97*AK97</f>
        <v/>
      </c>
      <c r="AN97" s="9">
        <f>AD97*T97</f>
        <v/>
      </c>
      <c r="AO97" s="9">
        <f>S97*AK97</f>
        <v/>
      </c>
    </row>
    <row r="98">
      <c r="A98" s="9">
        <f>raw_reservations!A98</f>
        <v/>
      </c>
      <c r="B98" s="9">
        <f>raw_reservations!B98</f>
        <v/>
      </c>
      <c r="C98" s="24">
        <f>raw_reservations!C98</f>
        <v/>
      </c>
      <c r="D98" s="24">
        <f>raw_reservations!D98</f>
        <v/>
      </c>
      <c r="E98" s="9">
        <f>raw_reservations!E98</f>
        <v/>
      </c>
      <c r="F98" s="10">
        <f>raw_reservations!F98</f>
        <v/>
      </c>
      <c r="G98" s="9">
        <f>raw_reservations!G98</f>
        <v/>
      </c>
      <c r="H98" s="10">
        <f>raw_reservations!H98</f>
        <v/>
      </c>
      <c r="I98" s="10">
        <f>raw_reservations!I98</f>
        <v/>
      </c>
      <c r="J98" s="9">
        <f>raw_reservations!J98</f>
        <v/>
      </c>
      <c r="K98" s="9">
        <f>D98-C98</f>
        <v/>
      </c>
      <c r="L98" s="9">
        <f>IF(COUNTIF(A$2:A98,A98)&gt;1,1,0)</f>
        <v/>
      </c>
      <c r="M98" s="9">
        <f>IF(COUNTIF(properties!$A$2:$A$21,B98)=0,1,0)</f>
        <v/>
      </c>
      <c r="N98" s="9">
        <f>IF(M98=1,0,IF(G98&lt;&gt;INDEX(properties!$E$2:$E$21,MATCH(B98,properties!$A$2:$A$21,0)),1,0))</f>
        <v/>
      </c>
      <c r="O98" s="9">
        <f>IF(OR(I98&gt;F98,AND(E98&lt;&gt;"cancelled",I98&gt;0)),1,0)</f>
        <v/>
      </c>
      <c r="P98" s="9">
        <f>IF(H98&lt;0,1,0)</f>
        <v/>
      </c>
      <c r="Q98" s="9">
        <f>IF(L98+M98+N98+O98=0,1,0)</f>
        <v/>
      </c>
      <c r="R98" s="9">
        <f>IF(AND(Q98=1,E98&lt;&gt;"cancelled"),COUNTIFS($B$2:$B$152,B98,$Q$2:$Q$152,1,$E$2:$E$152,"&lt;&gt;cancelled",$C$2:$C$152,"&lt;"&amp;D98,$D$2:$D$152,"&gt;"&amp;C98)-1,0)</f>
        <v/>
      </c>
      <c r="S98" s="9">
        <f>IF(AND(Q98=1,OR(R98&gt;0,P98=1)),1,0)</f>
        <v/>
      </c>
      <c r="T98" s="9">
        <f>IF(Q98=0,0,IF(AND(S98=1,Dashboard!$C$7="Нет"),0,1))</f>
        <v/>
      </c>
      <c r="U98" s="9">
        <f>IF(L98=1,"Исключено: дубль",IF(M98=1,"Исключено: нет объекта",IF(N98=1,"Исключено: валюта",IF(O98=1,"Исключено: возврат/статус",IF(S98=1,"На проверке","OK")))))</f>
        <v/>
      </c>
      <c r="V98" s="25">
        <f>SUMIFS(commission_rules!$D$2:$D$21,commission_rules!$A$2:$A$21,B98,commission_rules!$B$2:$B$21,"&lt;="&amp;C98,commission_rules!$C$2:$C$21,"&gt;="&amp;C98)</f>
        <v/>
      </c>
      <c r="W98" s="10">
        <f>F98-I98</f>
        <v/>
      </c>
      <c r="X98" s="10">
        <f>IF(F98=0,0,H98*W98/F98)</f>
        <v/>
      </c>
      <c r="Y98" s="10">
        <f>V98*W98</f>
        <v/>
      </c>
      <c r="Z98" s="10">
        <f>W98-X98</f>
        <v/>
      </c>
      <c r="AA98" s="10">
        <f>SUMIFS(calc_payments!$N$2:$N$77,calc_payments!$B$2:$B$77,A98)</f>
        <v/>
      </c>
      <c r="AB98" s="10">
        <f>AA98-Z98</f>
        <v/>
      </c>
      <c r="AC98" s="9">
        <f>IF(T98=0,"",IF(AA98=0,IF(Z98=0,"нечего получать","нет платежа"),IF(ABS(AB98)&lt;1,"сходится","расхождение")))</f>
        <v/>
      </c>
      <c r="AD98" s="9">
        <f>MAX(0,MIN(D98,Dashboard!$C$6+1)-MAX(C98,Dashboard!$C$5))</f>
        <v/>
      </c>
      <c r="AE98" s="26">
        <f>IF(K98=0,0,AD98/K98)*T98</f>
        <v/>
      </c>
      <c r="AF98" s="10">
        <f>F98*AE98</f>
        <v/>
      </c>
      <c r="AG98" s="10">
        <f>I98*AE98</f>
        <v/>
      </c>
      <c r="AH98" s="10">
        <f>W98*AE98</f>
        <v/>
      </c>
      <c r="AI98" s="10">
        <f>X98*AE98</f>
        <v/>
      </c>
      <c r="AJ98" s="10">
        <f>Y98*AE98</f>
        <v/>
      </c>
      <c r="AK98" s="9">
        <f>IF(AND(T98=1,AD98&gt;0),1,0)</f>
        <v/>
      </c>
      <c r="AL98" s="10">
        <f>Z98*AK98</f>
        <v/>
      </c>
      <c r="AM98" s="10">
        <f>AA98*AK98</f>
        <v/>
      </c>
      <c r="AN98" s="9">
        <f>AD98*T98</f>
        <v/>
      </c>
      <c r="AO98" s="9">
        <f>S98*AK98</f>
        <v/>
      </c>
    </row>
    <row r="99">
      <c r="A99" s="9">
        <f>raw_reservations!A99</f>
        <v/>
      </c>
      <c r="B99" s="9">
        <f>raw_reservations!B99</f>
        <v/>
      </c>
      <c r="C99" s="24">
        <f>raw_reservations!C99</f>
        <v/>
      </c>
      <c r="D99" s="24">
        <f>raw_reservations!D99</f>
        <v/>
      </c>
      <c r="E99" s="9">
        <f>raw_reservations!E99</f>
        <v/>
      </c>
      <c r="F99" s="10">
        <f>raw_reservations!F99</f>
        <v/>
      </c>
      <c r="G99" s="9">
        <f>raw_reservations!G99</f>
        <v/>
      </c>
      <c r="H99" s="10">
        <f>raw_reservations!H99</f>
        <v/>
      </c>
      <c r="I99" s="10">
        <f>raw_reservations!I99</f>
        <v/>
      </c>
      <c r="J99" s="9">
        <f>raw_reservations!J99</f>
        <v/>
      </c>
      <c r="K99" s="9">
        <f>D99-C99</f>
        <v/>
      </c>
      <c r="L99" s="9">
        <f>IF(COUNTIF(A$2:A99,A99)&gt;1,1,0)</f>
        <v/>
      </c>
      <c r="M99" s="9">
        <f>IF(COUNTIF(properties!$A$2:$A$21,B99)=0,1,0)</f>
        <v/>
      </c>
      <c r="N99" s="9">
        <f>IF(M99=1,0,IF(G99&lt;&gt;INDEX(properties!$E$2:$E$21,MATCH(B99,properties!$A$2:$A$21,0)),1,0))</f>
        <v/>
      </c>
      <c r="O99" s="9">
        <f>IF(OR(I99&gt;F99,AND(E99&lt;&gt;"cancelled",I99&gt;0)),1,0)</f>
        <v/>
      </c>
      <c r="P99" s="9">
        <f>IF(H99&lt;0,1,0)</f>
        <v/>
      </c>
      <c r="Q99" s="9">
        <f>IF(L99+M99+N99+O99=0,1,0)</f>
        <v/>
      </c>
      <c r="R99" s="9">
        <f>IF(AND(Q99=1,E99&lt;&gt;"cancelled"),COUNTIFS($B$2:$B$152,B99,$Q$2:$Q$152,1,$E$2:$E$152,"&lt;&gt;cancelled",$C$2:$C$152,"&lt;"&amp;D99,$D$2:$D$152,"&gt;"&amp;C99)-1,0)</f>
        <v/>
      </c>
      <c r="S99" s="9">
        <f>IF(AND(Q99=1,OR(R99&gt;0,P99=1)),1,0)</f>
        <v/>
      </c>
      <c r="T99" s="9">
        <f>IF(Q99=0,0,IF(AND(S99=1,Dashboard!$C$7="Нет"),0,1))</f>
        <v/>
      </c>
      <c r="U99" s="9">
        <f>IF(L99=1,"Исключено: дубль",IF(M99=1,"Исключено: нет объекта",IF(N99=1,"Исключено: валюта",IF(O99=1,"Исключено: возврат/статус",IF(S99=1,"На проверке","OK")))))</f>
        <v/>
      </c>
      <c r="V99" s="25">
        <f>SUMIFS(commission_rules!$D$2:$D$21,commission_rules!$A$2:$A$21,B99,commission_rules!$B$2:$B$21,"&lt;="&amp;C99,commission_rules!$C$2:$C$21,"&gt;="&amp;C99)</f>
        <v/>
      </c>
      <c r="W99" s="10">
        <f>F99-I99</f>
        <v/>
      </c>
      <c r="X99" s="10">
        <f>IF(F99=0,0,H99*W99/F99)</f>
        <v/>
      </c>
      <c r="Y99" s="10">
        <f>V99*W99</f>
        <v/>
      </c>
      <c r="Z99" s="10">
        <f>W99-X99</f>
        <v/>
      </c>
      <c r="AA99" s="10">
        <f>SUMIFS(calc_payments!$N$2:$N$77,calc_payments!$B$2:$B$77,A99)</f>
        <v/>
      </c>
      <c r="AB99" s="10">
        <f>AA99-Z99</f>
        <v/>
      </c>
      <c r="AC99" s="9">
        <f>IF(T99=0,"",IF(AA99=0,IF(Z99=0,"нечего получать","нет платежа"),IF(ABS(AB99)&lt;1,"сходится","расхождение")))</f>
        <v/>
      </c>
      <c r="AD99" s="9">
        <f>MAX(0,MIN(D99,Dashboard!$C$6+1)-MAX(C99,Dashboard!$C$5))</f>
        <v/>
      </c>
      <c r="AE99" s="26">
        <f>IF(K99=0,0,AD99/K99)*T99</f>
        <v/>
      </c>
      <c r="AF99" s="10">
        <f>F99*AE99</f>
        <v/>
      </c>
      <c r="AG99" s="10">
        <f>I99*AE99</f>
        <v/>
      </c>
      <c r="AH99" s="10">
        <f>W99*AE99</f>
        <v/>
      </c>
      <c r="AI99" s="10">
        <f>X99*AE99</f>
        <v/>
      </c>
      <c r="AJ99" s="10">
        <f>Y99*AE99</f>
        <v/>
      </c>
      <c r="AK99" s="9">
        <f>IF(AND(T99=1,AD99&gt;0),1,0)</f>
        <v/>
      </c>
      <c r="AL99" s="10">
        <f>Z99*AK99</f>
        <v/>
      </c>
      <c r="AM99" s="10">
        <f>AA99*AK99</f>
        <v/>
      </c>
      <c r="AN99" s="9">
        <f>AD99*T99</f>
        <v/>
      </c>
      <c r="AO99" s="9">
        <f>S99*AK99</f>
        <v/>
      </c>
    </row>
    <row r="100">
      <c r="A100" s="9">
        <f>raw_reservations!A100</f>
        <v/>
      </c>
      <c r="B100" s="9">
        <f>raw_reservations!B100</f>
        <v/>
      </c>
      <c r="C100" s="24">
        <f>raw_reservations!C100</f>
        <v/>
      </c>
      <c r="D100" s="24">
        <f>raw_reservations!D100</f>
        <v/>
      </c>
      <c r="E100" s="9">
        <f>raw_reservations!E100</f>
        <v/>
      </c>
      <c r="F100" s="10">
        <f>raw_reservations!F100</f>
        <v/>
      </c>
      <c r="G100" s="9">
        <f>raw_reservations!G100</f>
        <v/>
      </c>
      <c r="H100" s="10">
        <f>raw_reservations!H100</f>
        <v/>
      </c>
      <c r="I100" s="10">
        <f>raw_reservations!I100</f>
        <v/>
      </c>
      <c r="J100" s="9">
        <f>raw_reservations!J100</f>
        <v/>
      </c>
      <c r="K100" s="9">
        <f>D100-C100</f>
        <v/>
      </c>
      <c r="L100" s="9">
        <f>IF(COUNTIF(A$2:A100,A100)&gt;1,1,0)</f>
        <v/>
      </c>
      <c r="M100" s="9">
        <f>IF(COUNTIF(properties!$A$2:$A$21,B100)=0,1,0)</f>
        <v/>
      </c>
      <c r="N100" s="9">
        <f>IF(M100=1,0,IF(G100&lt;&gt;INDEX(properties!$E$2:$E$21,MATCH(B100,properties!$A$2:$A$21,0)),1,0))</f>
        <v/>
      </c>
      <c r="O100" s="9">
        <f>IF(OR(I100&gt;F100,AND(E100&lt;&gt;"cancelled",I100&gt;0)),1,0)</f>
        <v/>
      </c>
      <c r="P100" s="9">
        <f>IF(H100&lt;0,1,0)</f>
        <v/>
      </c>
      <c r="Q100" s="9">
        <f>IF(L100+M100+N100+O100=0,1,0)</f>
        <v/>
      </c>
      <c r="R100" s="9">
        <f>IF(AND(Q100=1,E100&lt;&gt;"cancelled"),COUNTIFS($B$2:$B$152,B100,$Q$2:$Q$152,1,$E$2:$E$152,"&lt;&gt;cancelled",$C$2:$C$152,"&lt;"&amp;D100,$D$2:$D$152,"&gt;"&amp;C100)-1,0)</f>
        <v/>
      </c>
      <c r="S100" s="9">
        <f>IF(AND(Q100=1,OR(R100&gt;0,P100=1)),1,0)</f>
        <v/>
      </c>
      <c r="T100" s="9">
        <f>IF(Q100=0,0,IF(AND(S100=1,Dashboard!$C$7="Нет"),0,1))</f>
        <v/>
      </c>
      <c r="U100" s="9">
        <f>IF(L100=1,"Исключено: дубль",IF(M100=1,"Исключено: нет объекта",IF(N100=1,"Исключено: валюта",IF(O100=1,"Исключено: возврат/статус",IF(S100=1,"На проверке","OK")))))</f>
        <v/>
      </c>
      <c r="V100" s="25">
        <f>SUMIFS(commission_rules!$D$2:$D$21,commission_rules!$A$2:$A$21,B100,commission_rules!$B$2:$B$21,"&lt;="&amp;C100,commission_rules!$C$2:$C$21,"&gt;="&amp;C100)</f>
        <v/>
      </c>
      <c r="W100" s="10">
        <f>F100-I100</f>
        <v/>
      </c>
      <c r="X100" s="10">
        <f>IF(F100=0,0,H100*W100/F100)</f>
        <v/>
      </c>
      <c r="Y100" s="10">
        <f>V100*W100</f>
        <v/>
      </c>
      <c r="Z100" s="10">
        <f>W100-X100</f>
        <v/>
      </c>
      <c r="AA100" s="10">
        <f>SUMIFS(calc_payments!$N$2:$N$77,calc_payments!$B$2:$B$77,A100)</f>
        <v/>
      </c>
      <c r="AB100" s="10">
        <f>AA100-Z100</f>
        <v/>
      </c>
      <c r="AC100" s="9">
        <f>IF(T100=0,"",IF(AA100=0,IF(Z100=0,"нечего получать","нет платежа"),IF(ABS(AB100)&lt;1,"сходится","расхождение")))</f>
        <v/>
      </c>
      <c r="AD100" s="9">
        <f>MAX(0,MIN(D100,Dashboard!$C$6+1)-MAX(C100,Dashboard!$C$5))</f>
        <v/>
      </c>
      <c r="AE100" s="26">
        <f>IF(K100=0,0,AD100/K100)*T100</f>
        <v/>
      </c>
      <c r="AF100" s="10">
        <f>F100*AE100</f>
        <v/>
      </c>
      <c r="AG100" s="10">
        <f>I100*AE100</f>
        <v/>
      </c>
      <c r="AH100" s="10">
        <f>W100*AE100</f>
        <v/>
      </c>
      <c r="AI100" s="10">
        <f>X100*AE100</f>
        <v/>
      </c>
      <c r="AJ100" s="10">
        <f>Y100*AE100</f>
        <v/>
      </c>
      <c r="AK100" s="9">
        <f>IF(AND(T100=1,AD100&gt;0),1,0)</f>
        <v/>
      </c>
      <c r="AL100" s="10">
        <f>Z100*AK100</f>
        <v/>
      </c>
      <c r="AM100" s="10">
        <f>AA100*AK100</f>
        <v/>
      </c>
      <c r="AN100" s="9">
        <f>AD100*T100</f>
        <v/>
      </c>
      <c r="AO100" s="9">
        <f>S100*AK100</f>
        <v/>
      </c>
    </row>
    <row r="101">
      <c r="A101" s="9">
        <f>raw_reservations!A101</f>
        <v/>
      </c>
      <c r="B101" s="9">
        <f>raw_reservations!B101</f>
        <v/>
      </c>
      <c r="C101" s="24">
        <f>raw_reservations!C101</f>
        <v/>
      </c>
      <c r="D101" s="24">
        <f>raw_reservations!D101</f>
        <v/>
      </c>
      <c r="E101" s="9">
        <f>raw_reservations!E101</f>
        <v/>
      </c>
      <c r="F101" s="10">
        <f>raw_reservations!F101</f>
        <v/>
      </c>
      <c r="G101" s="9">
        <f>raw_reservations!G101</f>
        <v/>
      </c>
      <c r="H101" s="10">
        <f>raw_reservations!H101</f>
        <v/>
      </c>
      <c r="I101" s="10">
        <f>raw_reservations!I101</f>
        <v/>
      </c>
      <c r="J101" s="9">
        <f>raw_reservations!J101</f>
        <v/>
      </c>
      <c r="K101" s="9">
        <f>D101-C101</f>
        <v/>
      </c>
      <c r="L101" s="9">
        <f>IF(COUNTIF(A$2:A101,A101)&gt;1,1,0)</f>
        <v/>
      </c>
      <c r="M101" s="9">
        <f>IF(COUNTIF(properties!$A$2:$A$21,B101)=0,1,0)</f>
        <v/>
      </c>
      <c r="N101" s="9">
        <f>IF(M101=1,0,IF(G101&lt;&gt;INDEX(properties!$E$2:$E$21,MATCH(B101,properties!$A$2:$A$21,0)),1,0))</f>
        <v/>
      </c>
      <c r="O101" s="9">
        <f>IF(OR(I101&gt;F101,AND(E101&lt;&gt;"cancelled",I101&gt;0)),1,0)</f>
        <v/>
      </c>
      <c r="P101" s="9">
        <f>IF(H101&lt;0,1,0)</f>
        <v/>
      </c>
      <c r="Q101" s="9">
        <f>IF(L101+M101+N101+O101=0,1,0)</f>
        <v/>
      </c>
      <c r="R101" s="9">
        <f>IF(AND(Q101=1,E101&lt;&gt;"cancelled"),COUNTIFS($B$2:$B$152,B101,$Q$2:$Q$152,1,$E$2:$E$152,"&lt;&gt;cancelled",$C$2:$C$152,"&lt;"&amp;D101,$D$2:$D$152,"&gt;"&amp;C101)-1,0)</f>
        <v/>
      </c>
      <c r="S101" s="9">
        <f>IF(AND(Q101=1,OR(R101&gt;0,P101=1)),1,0)</f>
        <v/>
      </c>
      <c r="T101" s="9">
        <f>IF(Q101=0,0,IF(AND(S101=1,Dashboard!$C$7="Нет"),0,1))</f>
        <v/>
      </c>
      <c r="U101" s="9">
        <f>IF(L101=1,"Исключено: дубль",IF(M101=1,"Исключено: нет объекта",IF(N101=1,"Исключено: валюта",IF(O101=1,"Исключено: возврат/статус",IF(S101=1,"На проверке","OK")))))</f>
        <v/>
      </c>
      <c r="V101" s="25">
        <f>SUMIFS(commission_rules!$D$2:$D$21,commission_rules!$A$2:$A$21,B101,commission_rules!$B$2:$B$21,"&lt;="&amp;C101,commission_rules!$C$2:$C$21,"&gt;="&amp;C101)</f>
        <v/>
      </c>
      <c r="W101" s="10">
        <f>F101-I101</f>
        <v/>
      </c>
      <c r="X101" s="10">
        <f>IF(F101=0,0,H101*W101/F101)</f>
        <v/>
      </c>
      <c r="Y101" s="10">
        <f>V101*W101</f>
        <v/>
      </c>
      <c r="Z101" s="10">
        <f>W101-X101</f>
        <v/>
      </c>
      <c r="AA101" s="10">
        <f>SUMIFS(calc_payments!$N$2:$N$77,calc_payments!$B$2:$B$77,A101)</f>
        <v/>
      </c>
      <c r="AB101" s="10">
        <f>AA101-Z101</f>
        <v/>
      </c>
      <c r="AC101" s="9">
        <f>IF(T101=0,"",IF(AA101=0,IF(Z101=0,"нечего получать","нет платежа"),IF(ABS(AB101)&lt;1,"сходится","расхождение")))</f>
        <v/>
      </c>
      <c r="AD101" s="9">
        <f>MAX(0,MIN(D101,Dashboard!$C$6+1)-MAX(C101,Dashboard!$C$5))</f>
        <v/>
      </c>
      <c r="AE101" s="26">
        <f>IF(K101=0,0,AD101/K101)*T101</f>
        <v/>
      </c>
      <c r="AF101" s="10">
        <f>F101*AE101</f>
        <v/>
      </c>
      <c r="AG101" s="10">
        <f>I101*AE101</f>
        <v/>
      </c>
      <c r="AH101" s="10">
        <f>W101*AE101</f>
        <v/>
      </c>
      <c r="AI101" s="10">
        <f>X101*AE101</f>
        <v/>
      </c>
      <c r="AJ101" s="10">
        <f>Y101*AE101</f>
        <v/>
      </c>
      <c r="AK101" s="9">
        <f>IF(AND(T101=1,AD101&gt;0),1,0)</f>
        <v/>
      </c>
      <c r="AL101" s="10">
        <f>Z101*AK101</f>
        <v/>
      </c>
      <c r="AM101" s="10">
        <f>AA101*AK101</f>
        <v/>
      </c>
      <c r="AN101" s="9">
        <f>AD101*T101</f>
        <v/>
      </c>
      <c r="AO101" s="9">
        <f>S101*AK101</f>
        <v/>
      </c>
    </row>
    <row r="102">
      <c r="A102" s="9">
        <f>raw_reservations!A102</f>
        <v/>
      </c>
      <c r="B102" s="9">
        <f>raw_reservations!B102</f>
        <v/>
      </c>
      <c r="C102" s="24">
        <f>raw_reservations!C102</f>
        <v/>
      </c>
      <c r="D102" s="24">
        <f>raw_reservations!D102</f>
        <v/>
      </c>
      <c r="E102" s="9">
        <f>raw_reservations!E102</f>
        <v/>
      </c>
      <c r="F102" s="10">
        <f>raw_reservations!F102</f>
        <v/>
      </c>
      <c r="G102" s="9">
        <f>raw_reservations!G102</f>
        <v/>
      </c>
      <c r="H102" s="10">
        <f>raw_reservations!H102</f>
        <v/>
      </c>
      <c r="I102" s="10">
        <f>raw_reservations!I102</f>
        <v/>
      </c>
      <c r="J102" s="9">
        <f>raw_reservations!J102</f>
        <v/>
      </c>
      <c r="K102" s="9">
        <f>D102-C102</f>
        <v/>
      </c>
      <c r="L102" s="9">
        <f>IF(COUNTIF(A$2:A102,A102)&gt;1,1,0)</f>
        <v/>
      </c>
      <c r="M102" s="9">
        <f>IF(COUNTIF(properties!$A$2:$A$21,B102)=0,1,0)</f>
        <v/>
      </c>
      <c r="N102" s="9">
        <f>IF(M102=1,0,IF(G102&lt;&gt;INDEX(properties!$E$2:$E$21,MATCH(B102,properties!$A$2:$A$21,0)),1,0))</f>
        <v/>
      </c>
      <c r="O102" s="9">
        <f>IF(OR(I102&gt;F102,AND(E102&lt;&gt;"cancelled",I102&gt;0)),1,0)</f>
        <v/>
      </c>
      <c r="P102" s="9">
        <f>IF(H102&lt;0,1,0)</f>
        <v/>
      </c>
      <c r="Q102" s="9">
        <f>IF(L102+M102+N102+O102=0,1,0)</f>
        <v/>
      </c>
      <c r="R102" s="9">
        <f>IF(AND(Q102=1,E102&lt;&gt;"cancelled"),COUNTIFS($B$2:$B$152,B102,$Q$2:$Q$152,1,$E$2:$E$152,"&lt;&gt;cancelled",$C$2:$C$152,"&lt;"&amp;D102,$D$2:$D$152,"&gt;"&amp;C102)-1,0)</f>
        <v/>
      </c>
      <c r="S102" s="9">
        <f>IF(AND(Q102=1,OR(R102&gt;0,P102=1)),1,0)</f>
        <v/>
      </c>
      <c r="T102" s="9">
        <f>IF(Q102=0,0,IF(AND(S102=1,Dashboard!$C$7="Нет"),0,1))</f>
        <v/>
      </c>
      <c r="U102" s="9">
        <f>IF(L102=1,"Исключено: дубль",IF(M102=1,"Исключено: нет объекта",IF(N102=1,"Исключено: валюта",IF(O102=1,"Исключено: возврат/статус",IF(S102=1,"На проверке","OK")))))</f>
        <v/>
      </c>
      <c r="V102" s="25">
        <f>SUMIFS(commission_rules!$D$2:$D$21,commission_rules!$A$2:$A$21,B102,commission_rules!$B$2:$B$21,"&lt;="&amp;C102,commission_rules!$C$2:$C$21,"&gt;="&amp;C102)</f>
        <v/>
      </c>
      <c r="W102" s="10">
        <f>F102-I102</f>
        <v/>
      </c>
      <c r="X102" s="10">
        <f>IF(F102=0,0,H102*W102/F102)</f>
        <v/>
      </c>
      <c r="Y102" s="10">
        <f>V102*W102</f>
        <v/>
      </c>
      <c r="Z102" s="10">
        <f>W102-X102</f>
        <v/>
      </c>
      <c r="AA102" s="10">
        <f>SUMIFS(calc_payments!$N$2:$N$77,calc_payments!$B$2:$B$77,A102)</f>
        <v/>
      </c>
      <c r="AB102" s="10">
        <f>AA102-Z102</f>
        <v/>
      </c>
      <c r="AC102" s="9">
        <f>IF(T102=0,"",IF(AA102=0,IF(Z102=0,"нечего получать","нет платежа"),IF(ABS(AB102)&lt;1,"сходится","расхождение")))</f>
        <v/>
      </c>
      <c r="AD102" s="9">
        <f>MAX(0,MIN(D102,Dashboard!$C$6+1)-MAX(C102,Dashboard!$C$5))</f>
        <v/>
      </c>
      <c r="AE102" s="26">
        <f>IF(K102=0,0,AD102/K102)*T102</f>
        <v/>
      </c>
      <c r="AF102" s="10">
        <f>F102*AE102</f>
        <v/>
      </c>
      <c r="AG102" s="10">
        <f>I102*AE102</f>
        <v/>
      </c>
      <c r="AH102" s="10">
        <f>W102*AE102</f>
        <v/>
      </c>
      <c r="AI102" s="10">
        <f>X102*AE102</f>
        <v/>
      </c>
      <c r="AJ102" s="10">
        <f>Y102*AE102</f>
        <v/>
      </c>
      <c r="AK102" s="9">
        <f>IF(AND(T102=1,AD102&gt;0),1,0)</f>
        <v/>
      </c>
      <c r="AL102" s="10">
        <f>Z102*AK102</f>
        <v/>
      </c>
      <c r="AM102" s="10">
        <f>AA102*AK102</f>
        <v/>
      </c>
      <c r="AN102" s="9">
        <f>AD102*T102</f>
        <v/>
      </c>
      <c r="AO102" s="9">
        <f>S102*AK102</f>
        <v/>
      </c>
    </row>
    <row r="103">
      <c r="A103" s="9">
        <f>raw_reservations!A103</f>
        <v/>
      </c>
      <c r="B103" s="9">
        <f>raw_reservations!B103</f>
        <v/>
      </c>
      <c r="C103" s="24">
        <f>raw_reservations!C103</f>
        <v/>
      </c>
      <c r="D103" s="24">
        <f>raw_reservations!D103</f>
        <v/>
      </c>
      <c r="E103" s="9">
        <f>raw_reservations!E103</f>
        <v/>
      </c>
      <c r="F103" s="10">
        <f>raw_reservations!F103</f>
        <v/>
      </c>
      <c r="G103" s="9">
        <f>raw_reservations!G103</f>
        <v/>
      </c>
      <c r="H103" s="10">
        <f>raw_reservations!H103</f>
        <v/>
      </c>
      <c r="I103" s="10">
        <f>raw_reservations!I103</f>
        <v/>
      </c>
      <c r="J103" s="9">
        <f>raw_reservations!J103</f>
        <v/>
      </c>
      <c r="K103" s="9">
        <f>D103-C103</f>
        <v/>
      </c>
      <c r="L103" s="9">
        <f>IF(COUNTIF(A$2:A103,A103)&gt;1,1,0)</f>
        <v/>
      </c>
      <c r="M103" s="9">
        <f>IF(COUNTIF(properties!$A$2:$A$21,B103)=0,1,0)</f>
        <v/>
      </c>
      <c r="N103" s="9">
        <f>IF(M103=1,0,IF(G103&lt;&gt;INDEX(properties!$E$2:$E$21,MATCH(B103,properties!$A$2:$A$21,0)),1,0))</f>
        <v/>
      </c>
      <c r="O103" s="9">
        <f>IF(OR(I103&gt;F103,AND(E103&lt;&gt;"cancelled",I103&gt;0)),1,0)</f>
        <v/>
      </c>
      <c r="P103" s="9">
        <f>IF(H103&lt;0,1,0)</f>
        <v/>
      </c>
      <c r="Q103" s="9">
        <f>IF(L103+M103+N103+O103=0,1,0)</f>
        <v/>
      </c>
      <c r="R103" s="9">
        <f>IF(AND(Q103=1,E103&lt;&gt;"cancelled"),COUNTIFS($B$2:$B$152,B103,$Q$2:$Q$152,1,$E$2:$E$152,"&lt;&gt;cancelled",$C$2:$C$152,"&lt;"&amp;D103,$D$2:$D$152,"&gt;"&amp;C103)-1,0)</f>
        <v/>
      </c>
      <c r="S103" s="9">
        <f>IF(AND(Q103=1,OR(R103&gt;0,P103=1)),1,0)</f>
        <v/>
      </c>
      <c r="T103" s="9">
        <f>IF(Q103=0,0,IF(AND(S103=1,Dashboard!$C$7="Нет"),0,1))</f>
        <v/>
      </c>
      <c r="U103" s="9">
        <f>IF(L103=1,"Исключено: дубль",IF(M103=1,"Исключено: нет объекта",IF(N103=1,"Исключено: валюта",IF(O103=1,"Исключено: возврат/статус",IF(S103=1,"На проверке","OK")))))</f>
        <v/>
      </c>
      <c r="V103" s="25">
        <f>SUMIFS(commission_rules!$D$2:$D$21,commission_rules!$A$2:$A$21,B103,commission_rules!$B$2:$B$21,"&lt;="&amp;C103,commission_rules!$C$2:$C$21,"&gt;="&amp;C103)</f>
        <v/>
      </c>
      <c r="W103" s="10">
        <f>F103-I103</f>
        <v/>
      </c>
      <c r="X103" s="10">
        <f>IF(F103=0,0,H103*W103/F103)</f>
        <v/>
      </c>
      <c r="Y103" s="10">
        <f>V103*W103</f>
        <v/>
      </c>
      <c r="Z103" s="10">
        <f>W103-X103</f>
        <v/>
      </c>
      <c r="AA103" s="10">
        <f>SUMIFS(calc_payments!$N$2:$N$77,calc_payments!$B$2:$B$77,A103)</f>
        <v/>
      </c>
      <c r="AB103" s="10">
        <f>AA103-Z103</f>
        <v/>
      </c>
      <c r="AC103" s="9">
        <f>IF(T103=0,"",IF(AA103=0,IF(Z103=0,"нечего получать","нет платежа"),IF(ABS(AB103)&lt;1,"сходится","расхождение")))</f>
        <v/>
      </c>
      <c r="AD103" s="9">
        <f>MAX(0,MIN(D103,Dashboard!$C$6+1)-MAX(C103,Dashboard!$C$5))</f>
        <v/>
      </c>
      <c r="AE103" s="26">
        <f>IF(K103=0,0,AD103/K103)*T103</f>
        <v/>
      </c>
      <c r="AF103" s="10">
        <f>F103*AE103</f>
        <v/>
      </c>
      <c r="AG103" s="10">
        <f>I103*AE103</f>
        <v/>
      </c>
      <c r="AH103" s="10">
        <f>W103*AE103</f>
        <v/>
      </c>
      <c r="AI103" s="10">
        <f>X103*AE103</f>
        <v/>
      </c>
      <c r="AJ103" s="10">
        <f>Y103*AE103</f>
        <v/>
      </c>
      <c r="AK103" s="9">
        <f>IF(AND(T103=1,AD103&gt;0),1,0)</f>
        <v/>
      </c>
      <c r="AL103" s="10">
        <f>Z103*AK103</f>
        <v/>
      </c>
      <c r="AM103" s="10">
        <f>AA103*AK103</f>
        <v/>
      </c>
      <c r="AN103" s="9">
        <f>AD103*T103</f>
        <v/>
      </c>
      <c r="AO103" s="9">
        <f>S103*AK103</f>
        <v/>
      </c>
    </row>
    <row r="104">
      <c r="A104" s="9">
        <f>raw_reservations!A104</f>
        <v/>
      </c>
      <c r="B104" s="9">
        <f>raw_reservations!B104</f>
        <v/>
      </c>
      <c r="C104" s="24">
        <f>raw_reservations!C104</f>
        <v/>
      </c>
      <c r="D104" s="24">
        <f>raw_reservations!D104</f>
        <v/>
      </c>
      <c r="E104" s="9">
        <f>raw_reservations!E104</f>
        <v/>
      </c>
      <c r="F104" s="10">
        <f>raw_reservations!F104</f>
        <v/>
      </c>
      <c r="G104" s="9">
        <f>raw_reservations!G104</f>
        <v/>
      </c>
      <c r="H104" s="10">
        <f>raw_reservations!H104</f>
        <v/>
      </c>
      <c r="I104" s="10">
        <f>raw_reservations!I104</f>
        <v/>
      </c>
      <c r="J104" s="9">
        <f>raw_reservations!J104</f>
        <v/>
      </c>
      <c r="K104" s="9">
        <f>D104-C104</f>
        <v/>
      </c>
      <c r="L104" s="9">
        <f>IF(COUNTIF(A$2:A104,A104)&gt;1,1,0)</f>
        <v/>
      </c>
      <c r="M104" s="9">
        <f>IF(COUNTIF(properties!$A$2:$A$21,B104)=0,1,0)</f>
        <v/>
      </c>
      <c r="N104" s="9">
        <f>IF(M104=1,0,IF(G104&lt;&gt;INDEX(properties!$E$2:$E$21,MATCH(B104,properties!$A$2:$A$21,0)),1,0))</f>
        <v/>
      </c>
      <c r="O104" s="9">
        <f>IF(OR(I104&gt;F104,AND(E104&lt;&gt;"cancelled",I104&gt;0)),1,0)</f>
        <v/>
      </c>
      <c r="P104" s="9">
        <f>IF(H104&lt;0,1,0)</f>
        <v/>
      </c>
      <c r="Q104" s="9">
        <f>IF(L104+M104+N104+O104=0,1,0)</f>
        <v/>
      </c>
      <c r="R104" s="9">
        <f>IF(AND(Q104=1,E104&lt;&gt;"cancelled"),COUNTIFS($B$2:$B$152,B104,$Q$2:$Q$152,1,$E$2:$E$152,"&lt;&gt;cancelled",$C$2:$C$152,"&lt;"&amp;D104,$D$2:$D$152,"&gt;"&amp;C104)-1,0)</f>
        <v/>
      </c>
      <c r="S104" s="9">
        <f>IF(AND(Q104=1,OR(R104&gt;0,P104=1)),1,0)</f>
        <v/>
      </c>
      <c r="T104" s="9">
        <f>IF(Q104=0,0,IF(AND(S104=1,Dashboard!$C$7="Нет"),0,1))</f>
        <v/>
      </c>
      <c r="U104" s="9">
        <f>IF(L104=1,"Исключено: дубль",IF(M104=1,"Исключено: нет объекта",IF(N104=1,"Исключено: валюта",IF(O104=1,"Исключено: возврат/статус",IF(S104=1,"На проверке","OK")))))</f>
        <v/>
      </c>
      <c r="V104" s="25">
        <f>SUMIFS(commission_rules!$D$2:$D$21,commission_rules!$A$2:$A$21,B104,commission_rules!$B$2:$B$21,"&lt;="&amp;C104,commission_rules!$C$2:$C$21,"&gt;="&amp;C104)</f>
        <v/>
      </c>
      <c r="W104" s="10">
        <f>F104-I104</f>
        <v/>
      </c>
      <c r="X104" s="10">
        <f>IF(F104=0,0,H104*W104/F104)</f>
        <v/>
      </c>
      <c r="Y104" s="10">
        <f>V104*W104</f>
        <v/>
      </c>
      <c r="Z104" s="10">
        <f>W104-X104</f>
        <v/>
      </c>
      <c r="AA104" s="10">
        <f>SUMIFS(calc_payments!$N$2:$N$77,calc_payments!$B$2:$B$77,A104)</f>
        <v/>
      </c>
      <c r="AB104" s="10">
        <f>AA104-Z104</f>
        <v/>
      </c>
      <c r="AC104" s="9">
        <f>IF(T104=0,"",IF(AA104=0,IF(Z104=0,"нечего получать","нет платежа"),IF(ABS(AB104)&lt;1,"сходится","расхождение")))</f>
        <v/>
      </c>
      <c r="AD104" s="9">
        <f>MAX(0,MIN(D104,Dashboard!$C$6+1)-MAX(C104,Dashboard!$C$5))</f>
        <v/>
      </c>
      <c r="AE104" s="26">
        <f>IF(K104=0,0,AD104/K104)*T104</f>
        <v/>
      </c>
      <c r="AF104" s="10">
        <f>F104*AE104</f>
        <v/>
      </c>
      <c r="AG104" s="10">
        <f>I104*AE104</f>
        <v/>
      </c>
      <c r="AH104" s="10">
        <f>W104*AE104</f>
        <v/>
      </c>
      <c r="AI104" s="10">
        <f>X104*AE104</f>
        <v/>
      </c>
      <c r="AJ104" s="10">
        <f>Y104*AE104</f>
        <v/>
      </c>
      <c r="AK104" s="9">
        <f>IF(AND(T104=1,AD104&gt;0),1,0)</f>
        <v/>
      </c>
      <c r="AL104" s="10">
        <f>Z104*AK104</f>
        <v/>
      </c>
      <c r="AM104" s="10">
        <f>AA104*AK104</f>
        <v/>
      </c>
      <c r="AN104" s="9">
        <f>AD104*T104</f>
        <v/>
      </c>
      <c r="AO104" s="9">
        <f>S104*AK104</f>
        <v/>
      </c>
    </row>
    <row r="105">
      <c r="A105" s="9">
        <f>raw_reservations!A105</f>
        <v/>
      </c>
      <c r="B105" s="9">
        <f>raw_reservations!B105</f>
        <v/>
      </c>
      <c r="C105" s="24">
        <f>raw_reservations!C105</f>
        <v/>
      </c>
      <c r="D105" s="24">
        <f>raw_reservations!D105</f>
        <v/>
      </c>
      <c r="E105" s="9">
        <f>raw_reservations!E105</f>
        <v/>
      </c>
      <c r="F105" s="10">
        <f>raw_reservations!F105</f>
        <v/>
      </c>
      <c r="G105" s="9">
        <f>raw_reservations!G105</f>
        <v/>
      </c>
      <c r="H105" s="10">
        <f>raw_reservations!H105</f>
        <v/>
      </c>
      <c r="I105" s="10">
        <f>raw_reservations!I105</f>
        <v/>
      </c>
      <c r="J105" s="9">
        <f>raw_reservations!J105</f>
        <v/>
      </c>
      <c r="K105" s="9">
        <f>D105-C105</f>
        <v/>
      </c>
      <c r="L105" s="9">
        <f>IF(COUNTIF(A$2:A105,A105)&gt;1,1,0)</f>
        <v/>
      </c>
      <c r="M105" s="9">
        <f>IF(COUNTIF(properties!$A$2:$A$21,B105)=0,1,0)</f>
        <v/>
      </c>
      <c r="N105" s="9">
        <f>IF(M105=1,0,IF(G105&lt;&gt;INDEX(properties!$E$2:$E$21,MATCH(B105,properties!$A$2:$A$21,0)),1,0))</f>
        <v/>
      </c>
      <c r="O105" s="9">
        <f>IF(OR(I105&gt;F105,AND(E105&lt;&gt;"cancelled",I105&gt;0)),1,0)</f>
        <v/>
      </c>
      <c r="P105" s="9">
        <f>IF(H105&lt;0,1,0)</f>
        <v/>
      </c>
      <c r="Q105" s="9">
        <f>IF(L105+M105+N105+O105=0,1,0)</f>
        <v/>
      </c>
      <c r="R105" s="9">
        <f>IF(AND(Q105=1,E105&lt;&gt;"cancelled"),COUNTIFS($B$2:$B$152,B105,$Q$2:$Q$152,1,$E$2:$E$152,"&lt;&gt;cancelled",$C$2:$C$152,"&lt;"&amp;D105,$D$2:$D$152,"&gt;"&amp;C105)-1,0)</f>
        <v/>
      </c>
      <c r="S105" s="9">
        <f>IF(AND(Q105=1,OR(R105&gt;0,P105=1)),1,0)</f>
        <v/>
      </c>
      <c r="T105" s="9">
        <f>IF(Q105=0,0,IF(AND(S105=1,Dashboard!$C$7="Нет"),0,1))</f>
        <v/>
      </c>
      <c r="U105" s="9">
        <f>IF(L105=1,"Исключено: дубль",IF(M105=1,"Исключено: нет объекта",IF(N105=1,"Исключено: валюта",IF(O105=1,"Исключено: возврат/статус",IF(S105=1,"На проверке","OK")))))</f>
        <v/>
      </c>
      <c r="V105" s="25">
        <f>SUMIFS(commission_rules!$D$2:$D$21,commission_rules!$A$2:$A$21,B105,commission_rules!$B$2:$B$21,"&lt;="&amp;C105,commission_rules!$C$2:$C$21,"&gt;="&amp;C105)</f>
        <v/>
      </c>
      <c r="W105" s="10">
        <f>F105-I105</f>
        <v/>
      </c>
      <c r="X105" s="10">
        <f>IF(F105=0,0,H105*W105/F105)</f>
        <v/>
      </c>
      <c r="Y105" s="10">
        <f>V105*W105</f>
        <v/>
      </c>
      <c r="Z105" s="10">
        <f>W105-X105</f>
        <v/>
      </c>
      <c r="AA105" s="10">
        <f>SUMIFS(calc_payments!$N$2:$N$77,calc_payments!$B$2:$B$77,A105)</f>
        <v/>
      </c>
      <c r="AB105" s="10">
        <f>AA105-Z105</f>
        <v/>
      </c>
      <c r="AC105" s="9">
        <f>IF(T105=0,"",IF(AA105=0,IF(Z105=0,"нечего получать","нет платежа"),IF(ABS(AB105)&lt;1,"сходится","расхождение")))</f>
        <v/>
      </c>
      <c r="AD105" s="9">
        <f>MAX(0,MIN(D105,Dashboard!$C$6+1)-MAX(C105,Dashboard!$C$5))</f>
        <v/>
      </c>
      <c r="AE105" s="26">
        <f>IF(K105=0,0,AD105/K105)*T105</f>
        <v/>
      </c>
      <c r="AF105" s="10">
        <f>F105*AE105</f>
        <v/>
      </c>
      <c r="AG105" s="10">
        <f>I105*AE105</f>
        <v/>
      </c>
      <c r="AH105" s="10">
        <f>W105*AE105</f>
        <v/>
      </c>
      <c r="AI105" s="10">
        <f>X105*AE105</f>
        <v/>
      </c>
      <c r="AJ105" s="10">
        <f>Y105*AE105</f>
        <v/>
      </c>
      <c r="AK105" s="9">
        <f>IF(AND(T105=1,AD105&gt;0),1,0)</f>
        <v/>
      </c>
      <c r="AL105" s="10">
        <f>Z105*AK105</f>
        <v/>
      </c>
      <c r="AM105" s="10">
        <f>AA105*AK105</f>
        <v/>
      </c>
      <c r="AN105" s="9">
        <f>AD105*T105</f>
        <v/>
      </c>
      <c r="AO105" s="9">
        <f>S105*AK105</f>
        <v/>
      </c>
    </row>
    <row r="106">
      <c r="A106" s="9">
        <f>raw_reservations!A106</f>
        <v/>
      </c>
      <c r="B106" s="9">
        <f>raw_reservations!B106</f>
        <v/>
      </c>
      <c r="C106" s="24">
        <f>raw_reservations!C106</f>
        <v/>
      </c>
      <c r="D106" s="24">
        <f>raw_reservations!D106</f>
        <v/>
      </c>
      <c r="E106" s="9">
        <f>raw_reservations!E106</f>
        <v/>
      </c>
      <c r="F106" s="10">
        <f>raw_reservations!F106</f>
        <v/>
      </c>
      <c r="G106" s="9">
        <f>raw_reservations!G106</f>
        <v/>
      </c>
      <c r="H106" s="10">
        <f>raw_reservations!H106</f>
        <v/>
      </c>
      <c r="I106" s="10">
        <f>raw_reservations!I106</f>
        <v/>
      </c>
      <c r="J106" s="9">
        <f>raw_reservations!J106</f>
        <v/>
      </c>
      <c r="K106" s="9">
        <f>D106-C106</f>
        <v/>
      </c>
      <c r="L106" s="9">
        <f>IF(COUNTIF(A$2:A106,A106)&gt;1,1,0)</f>
        <v/>
      </c>
      <c r="M106" s="9">
        <f>IF(COUNTIF(properties!$A$2:$A$21,B106)=0,1,0)</f>
        <v/>
      </c>
      <c r="N106" s="9">
        <f>IF(M106=1,0,IF(G106&lt;&gt;INDEX(properties!$E$2:$E$21,MATCH(B106,properties!$A$2:$A$21,0)),1,0))</f>
        <v/>
      </c>
      <c r="O106" s="9">
        <f>IF(OR(I106&gt;F106,AND(E106&lt;&gt;"cancelled",I106&gt;0)),1,0)</f>
        <v/>
      </c>
      <c r="P106" s="9">
        <f>IF(H106&lt;0,1,0)</f>
        <v/>
      </c>
      <c r="Q106" s="9">
        <f>IF(L106+M106+N106+O106=0,1,0)</f>
        <v/>
      </c>
      <c r="R106" s="9">
        <f>IF(AND(Q106=1,E106&lt;&gt;"cancelled"),COUNTIFS($B$2:$B$152,B106,$Q$2:$Q$152,1,$E$2:$E$152,"&lt;&gt;cancelled",$C$2:$C$152,"&lt;"&amp;D106,$D$2:$D$152,"&gt;"&amp;C106)-1,0)</f>
        <v/>
      </c>
      <c r="S106" s="9">
        <f>IF(AND(Q106=1,OR(R106&gt;0,P106=1)),1,0)</f>
        <v/>
      </c>
      <c r="T106" s="9">
        <f>IF(Q106=0,0,IF(AND(S106=1,Dashboard!$C$7="Нет"),0,1))</f>
        <v/>
      </c>
      <c r="U106" s="9">
        <f>IF(L106=1,"Исключено: дубль",IF(M106=1,"Исключено: нет объекта",IF(N106=1,"Исключено: валюта",IF(O106=1,"Исключено: возврат/статус",IF(S106=1,"На проверке","OK")))))</f>
        <v/>
      </c>
      <c r="V106" s="25">
        <f>SUMIFS(commission_rules!$D$2:$D$21,commission_rules!$A$2:$A$21,B106,commission_rules!$B$2:$B$21,"&lt;="&amp;C106,commission_rules!$C$2:$C$21,"&gt;="&amp;C106)</f>
        <v/>
      </c>
      <c r="W106" s="10">
        <f>F106-I106</f>
        <v/>
      </c>
      <c r="X106" s="10">
        <f>IF(F106=0,0,H106*W106/F106)</f>
        <v/>
      </c>
      <c r="Y106" s="10">
        <f>V106*W106</f>
        <v/>
      </c>
      <c r="Z106" s="10">
        <f>W106-X106</f>
        <v/>
      </c>
      <c r="AA106" s="10">
        <f>SUMIFS(calc_payments!$N$2:$N$77,calc_payments!$B$2:$B$77,A106)</f>
        <v/>
      </c>
      <c r="AB106" s="10">
        <f>AA106-Z106</f>
        <v/>
      </c>
      <c r="AC106" s="9">
        <f>IF(T106=0,"",IF(AA106=0,IF(Z106=0,"нечего получать","нет платежа"),IF(ABS(AB106)&lt;1,"сходится","расхождение")))</f>
        <v/>
      </c>
      <c r="AD106" s="9">
        <f>MAX(0,MIN(D106,Dashboard!$C$6+1)-MAX(C106,Dashboard!$C$5))</f>
        <v/>
      </c>
      <c r="AE106" s="26">
        <f>IF(K106=0,0,AD106/K106)*T106</f>
        <v/>
      </c>
      <c r="AF106" s="10">
        <f>F106*AE106</f>
        <v/>
      </c>
      <c r="AG106" s="10">
        <f>I106*AE106</f>
        <v/>
      </c>
      <c r="AH106" s="10">
        <f>W106*AE106</f>
        <v/>
      </c>
      <c r="AI106" s="10">
        <f>X106*AE106</f>
        <v/>
      </c>
      <c r="AJ106" s="10">
        <f>Y106*AE106</f>
        <v/>
      </c>
      <c r="AK106" s="9">
        <f>IF(AND(T106=1,AD106&gt;0),1,0)</f>
        <v/>
      </c>
      <c r="AL106" s="10">
        <f>Z106*AK106</f>
        <v/>
      </c>
      <c r="AM106" s="10">
        <f>AA106*AK106</f>
        <v/>
      </c>
      <c r="AN106" s="9">
        <f>AD106*T106</f>
        <v/>
      </c>
      <c r="AO106" s="9">
        <f>S106*AK106</f>
        <v/>
      </c>
    </row>
    <row r="107">
      <c r="A107" s="9">
        <f>raw_reservations!A107</f>
        <v/>
      </c>
      <c r="B107" s="9">
        <f>raw_reservations!B107</f>
        <v/>
      </c>
      <c r="C107" s="24">
        <f>raw_reservations!C107</f>
        <v/>
      </c>
      <c r="D107" s="24">
        <f>raw_reservations!D107</f>
        <v/>
      </c>
      <c r="E107" s="9">
        <f>raw_reservations!E107</f>
        <v/>
      </c>
      <c r="F107" s="10">
        <f>raw_reservations!F107</f>
        <v/>
      </c>
      <c r="G107" s="9">
        <f>raw_reservations!G107</f>
        <v/>
      </c>
      <c r="H107" s="10">
        <f>raw_reservations!H107</f>
        <v/>
      </c>
      <c r="I107" s="10">
        <f>raw_reservations!I107</f>
        <v/>
      </c>
      <c r="J107" s="9">
        <f>raw_reservations!J107</f>
        <v/>
      </c>
      <c r="K107" s="9">
        <f>D107-C107</f>
        <v/>
      </c>
      <c r="L107" s="9">
        <f>IF(COUNTIF(A$2:A107,A107)&gt;1,1,0)</f>
        <v/>
      </c>
      <c r="M107" s="9">
        <f>IF(COUNTIF(properties!$A$2:$A$21,B107)=0,1,0)</f>
        <v/>
      </c>
      <c r="N107" s="9">
        <f>IF(M107=1,0,IF(G107&lt;&gt;INDEX(properties!$E$2:$E$21,MATCH(B107,properties!$A$2:$A$21,0)),1,0))</f>
        <v/>
      </c>
      <c r="O107" s="9">
        <f>IF(OR(I107&gt;F107,AND(E107&lt;&gt;"cancelled",I107&gt;0)),1,0)</f>
        <v/>
      </c>
      <c r="P107" s="9">
        <f>IF(H107&lt;0,1,0)</f>
        <v/>
      </c>
      <c r="Q107" s="9">
        <f>IF(L107+M107+N107+O107=0,1,0)</f>
        <v/>
      </c>
      <c r="R107" s="9">
        <f>IF(AND(Q107=1,E107&lt;&gt;"cancelled"),COUNTIFS($B$2:$B$152,B107,$Q$2:$Q$152,1,$E$2:$E$152,"&lt;&gt;cancelled",$C$2:$C$152,"&lt;"&amp;D107,$D$2:$D$152,"&gt;"&amp;C107)-1,0)</f>
        <v/>
      </c>
      <c r="S107" s="9">
        <f>IF(AND(Q107=1,OR(R107&gt;0,P107=1)),1,0)</f>
        <v/>
      </c>
      <c r="T107" s="9">
        <f>IF(Q107=0,0,IF(AND(S107=1,Dashboard!$C$7="Нет"),0,1))</f>
        <v/>
      </c>
      <c r="U107" s="9">
        <f>IF(L107=1,"Исключено: дубль",IF(M107=1,"Исключено: нет объекта",IF(N107=1,"Исключено: валюта",IF(O107=1,"Исключено: возврат/статус",IF(S107=1,"На проверке","OK")))))</f>
        <v/>
      </c>
      <c r="V107" s="25">
        <f>SUMIFS(commission_rules!$D$2:$D$21,commission_rules!$A$2:$A$21,B107,commission_rules!$B$2:$B$21,"&lt;="&amp;C107,commission_rules!$C$2:$C$21,"&gt;="&amp;C107)</f>
        <v/>
      </c>
      <c r="W107" s="10">
        <f>F107-I107</f>
        <v/>
      </c>
      <c r="X107" s="10">
        <f>IF(F107=0,0,H107*W107/F107)</f>
        <v/>
      </c>
      <c r="Y107" s="10">
        <f>V107*W107</f>
        <v/>
      </c>
      <c r="Z107" s="10">
        <f>W107-X107</f>
        <v/>
      </c>
      <c r="AA107" s="10">
        <f>SUMIFS(calc_payments!$N$2:$N$77,calc_payments!$B$2:$B$77,A107)</f>
        <v/>
      </c>
      <c r="AB107" s="10">
        <f>AA107-Z107</f>
        <v/>
      </c>
      <c r="AC107" s="9">
        <f>IF(T107=0,"",IF(AA107=0,IF(Z107=0,"нечего получать","нет платежа"),IF(ABS(AB107)&lt;1,"сходится","расхождение")))</f>
        <v/>
      </c>
      <c r="AD107" s="9">
        <f>MAX(0,MIN(D107,Dashboard!$C$6+1)-MAX(C107,Dashboard!$C$5))</f>
        <v/>
      </c>
      <c r="AE107" s="26">
        <f>IF(K107=0,0,AD107/K107)*T107</f>
        <v/>
      </c>
      <c r="AF107" s="10">
        <f>F107*AE107</f>
        <v/>
      </c>
      <c r="AG107" s="10">
        <f>I107*AE107</f>
        <v/>
      </c>
      <c r="AH107" s="10">
        <f>W107*AE107</f>
        <v/>
      </c>
      <c r="AI107" s="10">
        <f>X107*AE107</f>
        <v/>
      </c>
      <c r="AJ107" s="10">
        <f>Y107*AE107</f>
        <v/>
      </c>
      <c r="AK107" s="9">
        <f>IF(AND(T107=1,AD107&gt;0),1,0)</f>
        <v/>
      </c>
      <c r="AL107" s="10">
        <f>Z107*AK107</f>
        <v/>
      </c>
      <c r="AM107" s="10">
        <f>AA107*AK107</f>
        <v/>
      </c>
      <c r="AN107" s="9">
        <f>AD107*T107</f>
        <v/>
      </c>
      <c r="AO107" s="9">
        <f>S107*AK107</f>
        <v/>
      </c>
    </row>
    <row r="108">
      <c r="A108" s="9">
        <f>raw_reservations!A108</f>
        <v/>
      </c>
      <c r="B108" s="9">
        <f>raw_reservations!B108</f>
        <v/>
      </c>
      <c r="C108" s="24">
        <f>raw_reservations!C108</f>
        <v/>
      </c>
      <c r="D108" s="24">
        <f>raw_reservations!D108</f>
        <v/>
      </c>
      <c r="E108" s="9">
        <f>raw_reservations!E108</f>
        <v/>
      </c>
      <c r="F108" s="10">
        <f>raw_reservations!F108</f>
        <v/>
      </c>
      <c r="G108" s="9">
        <f>raw_reservations!G108</f>
        <v/>
      </c>
      <c r="H108" s="10">
        <f>raw_reservations!H108</f>
        <v/>
      </c>
      <c r="I108" s="10">
        <f>raw_reservations!I108</f>
        <v/>
      </c>
      <c r="J108" s="9">
        <f>raw_reservations!J108</f>
        <v/>
      </c>
      <c r="K108" s="9">
        <f>D108-C108</f>
        <v/>
      </c>
      <c r="L108" s="9">
        <f>IF(COUNTIF(A$2:A108,A108)&gt;1,1,0)</f>
        <v/>
      </c>
      <c r="M108" s="9">
        <f>IF(COUNTIF(properties!$A$2:$A$21,B108)=0,1,0)</f>
        <v/>
      </c>
      <c r="N108" s="9">
        <f>IF(M108=1,0,IF(G108&lt;&gt;INDEX(properties!$E$2:$E$21,MATCH(B108,properties!$A$2:$A$21,0)),1,0))</f>
        <v/>
      </c>
      <c r="O108" s="9">
        <f>IF(OR(I108&gt;F108,AND(E108&lt;&gt;"cancelled",I108&gt;0)),1,0)</f>
        <v/>
      </c>
      <c r="P108" s="9">
        <f>IF(H108&lt;0,1,0)</f>
        <v/>
      </c>
      <c r="Q108" s="9">
        <f>IF(L108+M108+N108+O108=0,1,0)</f>
        <v/>
      </c>
      <c r="R108" s="9">
        <f>IF(AND(Q108=1,E108&lt;&gt;"cancelled"),COUNTIFS($B$2:$B$152,B108,$Q$2:$Q$152,1,$E$2:$E$152,"&lt;&gt;cancelled",$C$2:$C$152,"&lt;"&amp;D108,$D$2:$D$152,"&gt;"&amp;C108)-1,0)</f>
        <v/>
      </c>
      <c r="S108" s="9">
        <f>IF(AND(Q108=1,OR(R108&gt;0,P108=1)),1,0)</f>
        <v/>
      </c>
      <c r="T108" s="9">
        <f>IF(Q108=0,0,IF(AND(S108=1,Dashboard!$C$7="Нет"),0,1))</f>
        <v/>
      </c>
      <c r="U108" s="9">
        <f>IF(L108=1,"Исключено: дубль",IF(M108=1,"Исключено: нет объекта",IF(N108=1,"Исключено: валюта",IF(O108=1,"Исключено: возврат/статус",IF(S108=1,"На проверке","OK")))))</f>
        <v/>
      </c>
      <c r="V108" s="25">
        <f>SUMIFS(commission_rules!$D$2:$D$21,commission_rules!$A$2:$A$21,B108,commission_rules!$B$2:$B$21,"&lt;="&amp;C108,commission_rules!$C$2:$C$21,"&gt;="&amp;C108)</f>
        <v/>
      </c>
      <c r="W108" s="10">
        <f>F108-I108</f>
        <v/>
      </c>
      <c r="X108" s="10">
        <f>IF(F108=0,0,H108*W108/F108)</f>
        <v/>
      </c>
      <c r="Y108" s="10">
        <f>V108*W108</f>
        <v/>
      </c>
      <c r="Z108" s="10">
        <f>W108-X108</f>
        <v/>
      </c>
      <c r="AA108" s="10">
        <f>SUMIFS(calc_payments!$N$2:$N$77,calc_payments!$B$2:$B$77,A108)</f>
        <v/>
      </c>
      <c r="AB108" s="10">
        <f>AA108-Z108</f>
        <v/>
      </c>
      <c r="AC108" s="9">
        <f>IF(T108=0,"",IF(AA108=0,IF(Z108=0,"нечего получать","нет платежа"),IF(ABS(AB108)&lt;1,"сходится","расхождение")))</f>
        <v/>
      </c>
      <c r="AD108" s="9">
        <f>MAX(0,MIN(D108,Dashboard!$C$6+1)-MAX(C108,Dashboard!$C$5))</f>
        <v/>
      </c>
      <c r="AE108" s="26">
        <f>IF(K108=0,0,AD108/K108)*T108</f>
        <v/>
      </c>
      <c r="AF108" s="10">
        <f>F108*AE108</f>
        <v/>
      </c>
      <c r="AG108" s="10">
        <f>I108*AE108</f>
        <v/>
      </c>
      <c r="AH108" s="10">
        <f>W108*AE108</f>
        <v/>
      </c>
      <c r="AI108" s="10">
        <f>X108*AE108</f>
        <v/>
      </c>
      <c r="AJ108" s="10">
        <f>Y108*AE108</f>
        <v/>
      </c>
      <c r="AK108" s="9">
        <f>IF(AND(T108=1,AD108&gt;0),1,0)</f>
        <v/>
      </c>
      <c r="AL108" s="10">
        <f>Z108*AK108</f>
        <v/>
      </c>
      <c r="AM108" s="10">
        <f>AA108*AK108</f>
        <v/>
      </c>
      <c r="AN108" s="9">
        <f>AD108*T108</f>
        <v/>
      </c>
      <c r="AO108" s="9">
        <f>S108*AK108</f>
        <v/>
      </c>
    </row>
    <row r="109">
      <c r="A109" s="9">
        <f>raw_reservations!A109</f>
        <v/>
      </c>
      <c r="B109" s="9">
        <f>raw_reservations!B109</f>
        <v/>
      </c>
      <c r="C109" s="24">
        <f>raw_reservations!C109</f>
        <v/>
      </c>
      <c r="D109" s="24">
        <f>raw_reservations!D109</f>
        <v/>
      </c>
      <c r="E109" s="9">
        <f>raw_reservations!E109</f>
        <v/>
      </c>
      <c r="F109" s="10">
        <f>raw_reservations!F109</f>
        <v/>
      </c>
      <c r="G109" s="9">
        <f>raw_reservations!G109</f>
        <v/>
      </c>
      <c r="H109" s="10">
        <f>raw_reservations!H109</f>
        <v/>
      </c>
      <c r="I109" s="10">
        <f>raw_reservations!I109</f>
        <v/>
      </c>
      <c r="J109" s="9">
        <f>raw_reservations!J109</f>
        <v/>
      </c>
      <c r="K109" s="9">
        <f>D109-C109</f>
        <v/>
      </c>
      <c r="L109" s="9">
        <f>IF(COUNTIF(A$2:A109,A109)&gt;1,1,0)</f>
        <v/>
      </c>
      <c r="M109" s="9">
        <f>IF(COUNTIF(properties!$A$2:$A$21,B109)=0,1,0)</f>
        <v/>
      </c>
      <c r="N109" s="9">
        <f>IF(M109=1,0,IF(G109&lt;&gt;INDEX(properties!$E$2:$E$21,MATCH(B109,properties!$A$2:$A$21,0)),1,0))</f>
        <v/>
      </c>
      <c r="O109" s="9">
        <f>IF(OR(I109&gt;F109,AND(E109&lt;&gt;"cancelled",I109&gt;0)),1,0)</f>
        <v/>
      </c>
      <c r="P109" s="9">
        <f>IF(H109&lt;0,1,0)</f>
        <v/>
      </c>
      <c r="Q109" s="9">
        <f>IF(L109+M109+N109+O109=0,1,0)</f>
        <v/>
      </c>
      <c r="R109" s="9">
        <f>IF(AND(Q109=1,E109&lt;&gt;"cancelled"),COUNTIFS($B$2:$B$152,B109,$Q$2:$Q$152,1,$E$2:$E$152,"&lt;&gt;cancelled",$C$2:$C$152,"&lt;"&amp;D109,$D$2:$D$152,"&gt;"&amp;C109)-1,0)</f>
        <v/>
      </c>
      <c r="S109" s="9">
        <f>IF(AND(Q109=1,OR(R109&gt;0,P109=1)),1,0)</f>
        <v/>
      </c>
      <c r="T109" s="9">
        <f>IF(Q109=0,0,IF(AND(S109=1,Dashboard!$C$7="Нет"),0,1))</f>
        <v/>
      </c>
      <c r="U109" s="9">
        <f>IF(L109=1,"Исключено: дубль",IF(M109=1,"Исключено: нет объекта",IF(N109=1,"Исключено: валюта",IF(O109=1,"Исключено: возврат/статус",IF(S109=1,"На проверке","OK")))))</f>
        <v/>
      </c>
      <c r="V109" s="25">
        <f>SUMIFS(commission_rules!$D$2:$D$21,commission_rules!$A$2:$A$21,B109,commission_rules!$B$2:$B$21,"&lt;="&amp;C109,commission_rules!$C$2:$C$21,"&gt;="&amp;C109)</f>
        <v/>
      </c>
      <c r="W109" s="10">
        <f>F109-I109</f>
        <v/>
      </c>
      <c r="X109" s="10">
        <f>IF(F109=0,0,H109*W109/F109)</f>
        <v/>
      </c>
      <c r="Y109" s="10">
        <f>V109*W109</f>
        <v/>
      </c>
      <c r="Z109" s="10">
        <f>W109-X109</f>
        <v/>
      </c>
      <c r="AA109" s="10">
        <f>SUMIFS(calc_payments!$N$2:$N$77,calc_payments!$B$2:$B$77,A109)</f>
        <v/>
      </c>
      <c r="AB109" s="10">
        <f>AA109-Z109</f>
        <v/>
      </c>
      <c r="AC109" s="9">
        <f>IF(T109=0,"",IF(AA109=0,IF(Z109=0,"нечего получать","нет платежа"),IF(ABS(AB109)&lt;1,"сходится","расхождение")))</f>
        <v/>
      </c>
      <c r="AD109" s="9">
        <f>MAX(0,MIN(D109,Dashboard!$C$6+1)-MAX(C109,Dashboard!$C$5))</f>
        <v/>
      </c>
      <c r="AE109" s="26">
        <f>IF(K109=0,0,AD109/K109)*T109</f>
        <v/>
      </c>
      <c r="AF109" s="10">
        <f>F109*AE109</f>
        <v/>
      </c>
      <c r="AG109" s="10">
        <f>I109*AE109</f>
        <v/>
      </c>
      <c r="AH109" s="10">
        <f>W109*AE109</f>
        <v/>
      </c>
      <c r="AI109" s="10">
        <f>X109*AE109</f>
        <v/>
      </c>
      <c r="AJ109" s="10">
        <f>Y109*AE109</f>
        <v/>
      </c>
      <c r="AK109" s="9">
        <f>IF(AND(T109=1,AD109&gt;0),1,0)</f>
        <v/>
      </c>
      <c r="AL109" s="10">
        <f>Z109*AK109</f>
        <v/>
      </c>
      <c r="AM109" s="10">
        <f>AA109*AK109</f>
        <v/>
      </c>
      <c r="AN109" s="9">
        <f>AD109*T109</f>
        <v/>
      </c>
      <c r="AO109" s="9">
        <f>S109*AK109</f>
        <v/>
      </c>
    </row>
    <row r="110">
      <c r="A110" s="9">
        <f>raw_reservations!A110</f>
        <v/>
      </c>
      <c r="B110" s="9">
        <f>raw_reservations!B110</f>
        <v/>
      </c>
      <c r="C110" s="24">
        <f>raw_reservations!C110</f>
        <v/>
      </c>
      <c r="D110" s="24">
        <f>raw_reservations!D110</f>
        <v/>
      </c>
      <c r="E110" s="9">
        <f>raw_reservations!E110</f>
        <v/>
      </c>
      <c r="F110" s="10">
        <f>raw_reservations!F110</f>
        <v/>
      </c>
      <c r="G110" s="9">
        <f>raw_reservations!G110</f>
        <v/>
      </c>
      <c r="H110" s="10">
        <f>raw_reservations!H110</f>
        <v/>
      </c>
      <c r="I110" s="10">
        <f>raw_reservations!I110</f>
        <v/>
      </c>
      <c r="J110" s="9">
        <f>raw_reservations!J110</f>
        <v/>
      </c>
      <c r="K110" s="9">
        <f>D110-C110</f>
        <v/>
      </c>
      <c r="L110" s="9">
        <f>IF(COUNTIF(A$2:A110,A110)&gt;1,1,0)</f>
        <v/>
      </c>
      <c r="M110" s="9">
        <f>IF(COUNTIF(properties!$A$2:$A$21,B110)=0,1,0)</f>
        <v/>
      </c>
      <c r="N110" s="9">
        <f>IF(M110=1,0,IF(G110&lt;&gt;INDEX(properties!$E$2:$E$21,MATCH(B110,properties!$A$2:$A$21,0)),1,0))</f>
        <v/>
      </c>
      <c r="O110" s="9">
        <f>IF(OR(I110&gt;F110,AND(E110&lt;&gt;"cancelled",I110&gt;0)),1,0)</f>
        <v/>
      </c>
      <c r="P110" s="9">
        <f>IF(H110&lt;0,1,0)</f>
        <v/>
      </c>
      <c r="Q110" s="9">
        <f>IF(L110+M110+N110+O110=0,1,0)</f>
        <v/>
      </c>
      <c r="R110" s="9">
        <f>IF(AND(Q110=1,E110&lt;&gt;"cancelled"),COUNTIFS($B$2:$B$152,B110,$Q$2:$Q$152,1,$E$2:$E$152,"&lt;&gt;cancelled",$C$2:$C$152,"&lt;"&amp;D110,$D$2:$D$152,"&gt;"&amp;C110)-1,0)</f>
        <v/>
      </c>
      <c r="S110" s="9">
        <f>IF(AND(Q110=1,OR(R110&gt;0,P110=1)),1,0)</f>
        <v/>
      </c>
      <c r="T110" s="9">
        <f>IF(Q110=0,0,IF(AND(S110=1,Dashboard!$C$7="Нет"),0,1))</f>
        <v/>
      </c>
      <c r="U110" s="9">
        <f>IF(L110=1,"Исключено: дубль",IF(M110=1,"Исключено: нет объекта",IF(N110=1,"Исключено: валюта",IF(O110=1,"Исключено: возврат/статус",IF(S110=1,"На проверке","OK")))))</f>
        <v/>
      </c>
      <c r="V110" s="25">
        <f>SUMIFS(commission_rules!$D$2:$D$21,commission_rules!$A$2:$A$21,B110,commission_rules!$B$2:$B$21,"&lt;="&amp;C110,commission_rules!$C$2:$C$21,"&gt;="&amp;C110)</f>
        <v/>
      </c>
      <c r="W110" s="10">
        <f>F110-I110</f>
        <v/>
      </c>
      <c r="X110" s="10">
        <f>IF(F110=0,0,H110*W110/F110)</f>
        <v/>
      </c>
      <c r="Y110" s="10">
        <f>V110*W110</f>
        <v/>
      </c>
      <c r="Z110" s="10">
        <f>W110-X110</f>
        <v/>
      </c>
      <c r="AA110" s="10">
        <f>SUMIFS(calc_payments!$N$2:$N$77,calc_payments!$B$2:$B$77,A110)</f>
        <v/>
      </c>
      <c r="AB110" s="10">
        <f>AA110-Z110</f>
        <v/>
      </c>
      <c r="AC110" s="9">
        <f>IF(T110=0,"",IF(AA110=0,IF(Z110=0,"нечего получать","нет платежа"),IF(ABS(AB110)&lt;1,"сходится","расхождение")))</f>
        <v/>
      </c>
      <c r="AD110" s="9">
        <f>MAX(0,MIN(D110,Dashboard!$C$6+1)-MAX(C110,Dashboard!$C$5))</f>
        <v/>
      </c>
      <c r="AE110" s="26">
        <f>IF(K110=0,0,AD110/K110)*T110</f>
        <v/>
      </c>
      <c r="AF110" s="10">
        <f>F110*AE110</f>
        <v/>
      </c>
      <c r="AG110" s="10">
        <f>I110*AE110</f>
        <v/>
      </c>
      <c r="AH110" s="10">
        <f>W110*AE110</f>
        <v/>
      </c>
      <c r="AI110" s="10">
        <f>X110*AE110</f>
        <v/>
      </c>
      <c r="AJ110" s="10">
        <f>Y110*AE110</f>
        <v/>
      </c>
      <c r="AK110" s="9">
        <f>IF(AND(T110=1,AD110&gt;0),1,0)</f>
        <v/>
      </c>
      <c r="AL110" s="10">
        <f>Z110*AK110</f>
        <v/>
      </c>
      <c r="AM110" s="10">
        <f>AA110*AK110</f>
        <v/>
      </c>
      <c r="AN110" s="9">
        <f>AD110*T110</f>
        <v/>
      </c>
      <c r="AO110" s="9">
        <f>S110*AK110</f>
        <v/>
      </c>
    </row>
    <row r="111">
      <c r="A111" s="9">
        <f>raw_reservations!A111</f>
        <v/>
      </c>
      <c r="B111" s="9">
        <f>raw_reservations!B111</f>
        <v/>
      </c>
      <c r="C111" s="24">
        <f>raw_reservations!C111</f>
        <v/>
      </c>
      <c r="D111" s="24">
        <f>raw_reservations!D111</f>
        <v/>
      </c>
      <c r="E111" s="9">
        <f>raw_reservations!E111</f>
        <v/>
      </c>
      <c r="F111" s="10">
        <f>raw_reservations!F111</f>
        <v/>
      </c>
      <c r="G111" s="9">
        <f>raw_reservations!G111</f>
        <v/>
      </c>
      <c r="H111" s="10">
        <f>raw_reservations!H111</f>
        <v/>
      </c>
      <c r="I111" s="10">
        <f>raw_reservations!I111</f>
        <v/>
      </c>
      <c r="J111" s="9">
        <f>raw_reservations!J111</f>
        <v/>
      </c>
      <c r="K111" s="9">
        <f>D111-C111</f>
        <v/>
      </c>
      <c r="L111" s="9">
        <f>IF(COUNTIF(A$2:A111,A111)&gt;1,1,0)</f>
        <v/>
      </c>
      <c r="M111" s="9">
        <f>IF(COUNTIF(properties!$A$2:$A$21,B111)=0,1,0)</f>
        <v/>
      </c>
      <c r="N111" s="9">
        <f>IF(M111=1,0,IF(G111&lt;&gt;INDEX(properties!$E$2:$E$21,MATCH(B111,properties!$A$2:$A$21,0)),1,0))</f>
        <v/>
      </c>
      <c r="O111" s="9">
        <f>IF(OR(I111&gt;F111,AND(E111&lt;&gt;"cancelled",I111&gt;0)),1,0)</f>
        <v/>
      </c>
      <c r="P111" s="9">
        <f>IF(H111&lt;0,1,0)</f>
        <v/>
      </c>
      <c r="Q111" s="9">
        <f>IF(L111+M111+N111+O111=0,1,0)</f>
        <v/>
      </c>
      <c r="R111" s="9">
        <f>IF(AND(Q111=1,E111&lt;&gt;"cancelled"),COUNTIFS($B$2:$B$152,B111,$Q$2:$Q$152,1,$E$2:$E$152,"&lt;&gt;cancelled",$C$2:$C$152,"&lt;"&amp;D111,$D$2:$D$152,"&gt;"&amp;C111)-1,0)</f>
        <v/>
      </c>
      <c r="S111" s="9">
        <f>IF(AND(Q111=1,OR(R111&gt;0,P111=1)),1,0)</f>
        <v/>
      </c>
      <c r="T111" s="9">
        <f>IF(Q111=0,0,IF(AND(S111=1,Dashboard!$C$7="Нет"),0,1))</f>
        <v/>
      </c>
      <c r="U111" s="9">
        <f>IF(L111=1,"Исключено: дубль",IF(M111=1,"Исключено: нет объекта",IF(N111=1,"Исключено: валюта",IF(O111=1,"Исключено: возврат/статус",IF(S111=1,"На проверке","OK")))))</f>
        <v/>
      </c>
      <c r="V111" s="25">
        <f>SUMIFS(commission_rules!$D$2:$D$21,commission_rules!$A$2:$A$21,B111,commission_rules!$B$2:$B$21,"&lt;="&amp;C111,commission_rules!$C$2:$C$21,"&gt;="&amp;C111)</f>
        <v/>
      </c>
      <c r="W111" s="10">
        <f>F111-I111</f>
        <v/>
      </c>
      <c r="X111" s="10">
        <f>IF(F111=0,0,H111*W111/F111)</f>
        <v/>
      </c>
      <c r="Y111" s="10">
        <f>V111*W111</f>
        <v/>
      </c>
      <c r="Z111" s="10">
        <f>W111-X111</f>
        <v/>
      </c>
      <c r="AA111" s="10">
        <f>SUMIFS(calc_payments!$N$2:$N$77,calc_payments!$B$2:$B$77,A111)</f>
        <v/>
      </c>
      <c r="AB111" s="10">
        <f>AA111-Z111</f>
        <v/>
      </c>
      <c r="AC111" s="9">
        <f>IF(T111=0,"",IF(AA111=0,IF(Z111=0,"нечего получать","нет платежа"),IF(ABS(AB111)&lt;1,"сходится","расхождение")))</f>
        <v/>
      </c>
      <c r="AD111" s="9">
        <f>MAX(0,MIN(D111,Dashboard!$C$6+1)-MAX(C111,Dashboard!$C$5))</f>
        <v/>
      </c>
      <c r="AE111" s="26">
        <f>IF(K111=0,0,AD111/K111)*T111</f>
        <v/>
      </c>
      <c r="AF111" s="10">
        <f>F111*AE111</f>
        <v/>
      </c>
      <c r="AG111" s="10">
        <f>I111*AE111</f>
        <v/>
      </c>
      <c r="AH111" s="10">
        <f>W111*AE111</f>
        <v/>
      </c>
      <c r="AI111" s="10">
        <f>X111*AE111</f>
        <v/>
      </c>
      <c r="AJ111" s="10">
        <f>Y111*AE111</f>
        <v/>
      </c>
      <c r="AK111" s="9">
        <f>IF(AND(T111=1,AD111&gt;0),1,0)</f>
        <v/>
      </c>
      <c r="AL111" s="10">
        <f>Z111*AK111</f>
        <v/>
      </c>
      <c r="AM111" s="10">
        <f>AA111*AK111</f>
        <v/>
      </c>
      <c r="AN111" s="9">
        <f>AD111*T111</f>
        <v/>
      </c>
      <c r="AO111" s="9">
        <f>S111*AK111</f>
        <v/>
      </c>
    </row>
    <row r="112">
      <c r="A112" s="9">
        <f>raw_reservations!A112</f>
        <v/>
      </c>
      <c r="B112" s="9">
        <f>raw_reservations!B112</f>
        <v/>
      </c>
      <c r="C112" s="24">
        <f>raw_reservations!C112</f>
        <v/>
      </c>
      <c r="D112" s="24">
        <f>raw_reservations!D112</f>
        <v/>
      </c>
      <c r="E112" s="9">
        <f>raw_reservations!E112</f>
        <v/>
      </c>
      <c r="F112" s="10">
        <f>raw_reservations!F112</f>
        <v/>
      </c>
      <c r="G112" s="9">
        <f>raw_reservations!G112</f>
        <v/>
      </c>
      <c r="H112" s="10">
        <f>raw_reservations!H112</f>
        <v/>
      </c>
      <c r="I112" s="10">
        <f>raw_reservations!I112</f>
        <v/>
      </c>
      <c r="J112" s="9">
        <f>raw_reservations!J112</f>
        <v/>
      </c>
      <c r="K112" s="9">
        <f>D112-C112</f>
        <v/>
      </c>
      <c r="L112" s="9">
        <f>IF(COUNTIF(A$2:A112,A112)&gt;1,1,0)</f>
        <v/>
      </c>
      <c r="M112" s="9">
        <f>IF(COUNTIF(properties!$A$2:$A$21,B112)=0,1,0)</f>
        <v/>
      </c>
      <c r="N112" s="9">
        <f>IF(M112=1,0,IF(G112&lt;&gt;INDEX(properties!$E$2:$E$21,MATCH(B112,properties!$A$2:$A$21,0)),1,0))</f>
        <v/>
      </c>
      <c r="O112" s="9">
        <f>IF(OR(I112&gt;F112,AND(E112&lt;&gt;"cancelled",I112&gt;0)),1,0)</f>
        <v/>
      </c>
      <c r="P112" s="9">
        <f>IF(H112&lt;0,1,0)</f>
        <v/>
      </c>
      <c r="Q112" s="9">
        <f>IF(L112+M112+N112+O112=0,1,0)</f>
        <v/>
      </c>
      <c r="R112" s="9">
        <f>IF(AND(Q112=1,E112&lt;&gt;"cancelled"),COUNTIFS($B$2:$B$152,B112,$Q$2:$Q$152,1,$E$2:$E$152,"&lt;&gt;cancelled",$C$2:$C$152,"&lt;"&amp;D112,$D$2:$D$152,"&gt;"&amp;C112)-1,0)</f>
        <v/>
      </c>
      <c r="S112" s="9">
        <f>IF(AND(Q112=1,OR(R112&gt;0,P112=1)),1,0)</f>
        <v/>
      </c>
      <c r="T112" s="9">
        <f>IF(Q112=0,0,IF(AND(S112=1,Dashboard!$C$7="Нет"),0,1))</f>
        <v/>
      </c>
      <c r="U112" s="9">
        <f>IF(L112=1,"Исключено: дубль",IF(M112=1,"Исключено: нет объекта",IF(N112=1,"Исключено: валюта",IF(O112=1,"Исключено: возврат/статус",IF(S112=1,"На проверке","OK")))))</f>
        <v/>
      </c>
      <c r="V112" s="25">
        <f>SUMIFS(commission_rules!$D$2:$D$21,commission_rules!$A$2:$A$21,B112,commission_rules!$B$2:$B$21,"&lt;="&amp;C112,commission_rules!$C$2:$C$21,"&gt;="&amp;C112)</f>
        <v/>
      </c>
      <c r="W112" s="10">
        <f>F112-I112</f>
        <v/>
      </c>
      <c r="X112" s="10">
        <f>IF(F112=0,0,H112*W112/F112)</f>
        <v/>
      </c>
      <c r="Y112" s="10">
        <f>V112*W112</f>
        <v/>
      </c>
      <c r="Z112" s="10">
        <f>W112-X112</f>
        <v/>
      </c>
      <c r="AA112" s="10">
        <f>SUMIFS(calc_payments!$N$2:$N$77,calc_payments!$B$2:$B$77,A112)</f>
        <v/>
      </c>
      <c r="AB112" s="10">
        <f>AA112-Z112</f>
        <v/>
      </c>
      <c r="AC112" s="9">
        <f>IF(T112=0,"",IF(AA112=0,IF(Z112=0,"нечего получать","нет платежа"),IF(ABS(AB112)&lt;1,"сходится","расхождение")))</f>
        <v/>
      </c>
      <c r="AD112" s="9">
        <f>MAX(0,MIN(D112,Dashboard!$C$6+1)-MAX(C112,Dashboard!$C$5))</f>
        <v/>
      </c>
      <c r="AE112" s="26">
        <f>IF(K112=0,0,AD112/K112)*T112</f>
        <v/>
      </c>
      <c r="AF112" s="10">
        <f>F112*AE112</f>
        <v/>
      </c>
      <c r="AG112" s="10">
        <f>I112*AE112</f>
        <v/>
      </c>
      <c r="AH112" s="10">
        <f>W112*AE112</f>
        <v/>
      </c>
      <c r="AI112" s="10">
        <f>X112*AE112</f>
        <v/>
      </c>
      <c r="AJ112" s="10">
        <f>Y112*AE112</f>
        <v/>
      </c>
      <c r="AK112" s="9">
        <f>IF(AND(T112=1,AD112&gt;0),1,0)</f>
        <v/>
      </c>
      <c r="AL112" s="10">
        <f>Z112*AK112</f>
        <v/>
      </c>
      <c r="AM112" s="10">
        <f>AA112*AK112</f>
        <v/>
      </c>
      <c r="AN112" s="9">
        <f>AD112*T112</f>
        <v/>
      </c>
      <c r="AO112" s="9">
        <f>S112*AK112</f>
        <v/>
      </c>
    </row>
    <row r="113">
      <c r="A113" s="9">
        <f>raw_reservations!A113</f>
        <v/>
      </c>
      <c r="B113" s="9">
        <f>raw_reservations!B113</f>
        <v/>
      </c>
      <c r="C113" s="24">
        <f>raw_reservations!C113</f>
        <v/>
      </c>
      <c r="D113" s="24">
        <f>raw_reservations!D113</f>
        <v/>
      </c>
      <c r="E113" s="9">
        <f>raw_reservations!E113</f>
        <v/>
      </c>
      <c r="F113" s="10">
        <f>raw_reservations!F113</f>
        <v/>
      </c>
      <c r="G113" s="9">
        <f>raw_reservations!G113</f>
        <v/>
      </c>
      <c r="H113" s="10">
        <f>raw_reservations!H113</f>
        <v/>
      </c>
      <c r="I113" s="10">
        <f>raw_reservations!I113</f>
        <v/>
      </c>
      <c r="J113" s="9">
        <f>raw_reservations!J113</f>
        <v/>
      </c>
      <c r="K113" s="9">
        <f>D113-C113</f>
        <v/>
      </c>
      <c r="L113" s="9">
        <f>IF(COUNTIF(A$2:A113,A113)&gt;1,1,0)</f>
        <v/>
      </c>
      <c r="M113" s="9">
        <f>IF(COUNTIF(properties!$A$2:$A$21,B113)=0,1,0)</f>
        <v/>
      </c>
      <c r="N113" s="9">
        <f>IF(M113=1,0,IF(G113&lt;&gt;INDEX(properties!$E$2:$E$21,MATCH(B113,properties!$A$2:$A$21,0)),1,0))</f>
        <v/>
      </c>
      <c r="O113" s="9">
        <f>IF(OR(I113&gt;F113,AND(E113&lt;&gt;"cancelled",I113&gt;0)),1,0)</f>
        <v/>
      </c>
      <c r="P113" s="9">
        <f>IF(H113&lt;0,1,0)</f>
        <v/>
      </c>
      <c r="Q113" s="9">
        <f>IF(L113+M113+N113+O113=0,1,0)</f>
        <v/>
      </c>
      <c r="R113" s="9">
        <f>IF(AND(Q113=1,E113&lt;&gt;"cancelled"),COUNTIFS($B$2:$B$152,B113,$Q$2:$Q$152,1,$E$2:$E$152,"&lt;&gt;cancelled",$C$2:$C$152,"&lt;"&amp;D113,$D$2:$D$152,"&gt;"&amp;C113)-1,0)</f>
        <v/>
      </c>
      <c r="S113" s="9">
        <f>IF(AND(Q113=1,OR(R113&gt;0,P113=1)),1,0)</f>
        <v/>
      </c>
      <c r="T113" s="9">
        <f>IF(Q113=0,0,IF(AND(S113=1,Dashboard!$C$7="Нет"),0,1))</f>
        <v/>
      </c>
      <c r="U113" s="9">
        <f>IF(L113=1,"Исключено: дубль",IF(M113=1,"Исключено: нет объекта",IF(N113=1,"Исключено: валюта",IF(O113=1,"Исключено: возврат/статус",IF(S113=1,"На проверке","OK")))))</f>
        <v/>
      </c>
      <c r="V113" s="25">
        <f>SUMIFS(commission_rules!$D$2:$D$21,commission_rules!$A$2:$A$21,B113,commission_rules!$B$2:$B$21,"&lt;="&amp;C113,commission_rules!$C$2:$C$21,"&gt;="&amp;C113)</f>
        <v/>
      </c>
      <c r="W113" s="10">
        <f>F113-I113</f>
        <v/>
      </c>
      <c r="X113" s="10">
        <f>IF(F113=0,0,H113*W113/F113)</f>
        <v/>
      </c>
      <c r="Y113" s="10">
        <f>V113*W113</f>
        <v/>
      </c>
      <c r="Z113" s="10">
        <f>W113-X113</f>
        <v/>
      </c>
      <c r="AA113" s="10">
        <f>SUMIFS(calc_payments!$N$2:$N$77,calc_payments!$B$2:$B$77,A113)</f>
        <v/>
      </c>
      <c r="AB113" s="10">
        <f>AA113-Z113</f>
        <v/>
      </c>
      <c r="AC113" s="9">
        <f>IF(T113=0,"",IF(AA113=0,IF(Z113=0,"нечего получать","нет платежа"),IF(ABS(AB113)&lt;1,"сходится","расхождение")))</f>
        <v/>
      </c>
      <c r="AD113" s="9">
        <f>MAX(0,MIN(D113,Dashboard!$C$6+1)-MAX(C113,Dashboard!$C$5))</f>
        <v/>
      </c>
      <c r="AE113" s="26">
        <f>IF(K113=0,0,AD113/K113)*T113</f>
        <v/>
      </c>
      <c r="AF113" s="10">
        <f>F113*AE113</f>
        <v/>
      </c>
      <c r="AG113" s="10">
        <f>I113*AE113</f>
        <v/>
      </c>
      <c r="AH113" s="10">
        <f>W113*AE113</f>
        <v/>
      </c>
      <c r="AI113" s="10">
        <f>X113*AE113</f>
        <v/>
      </c>
      <c r="AJ113" s="10">
        <f>Y113*AE113</f>
        <v/>
      </c>
      <c r="AK113" s="9">
        <f>IF(AND(T113=1,AD113&gt;0),1,0)</f>
        <v/>
      </c>
      <c r="AL113" s="10">
        <f>Z113*AK113</f>
        <v/>
      </c>
      <c r="AM113" s="10">
        <f>AA113*AK113</f>
        <v/>
      </c>
      <c r="AN113" s="9">
        <f>AD113*T113</f>
        <v/>
      </c>
      <c r="AO113" s="9">
        <f>S113*AK113</f>
        <v/>
      </c>
    </row>
    <row r="114">
      <c r="A114" s="9">
        <f>raw_reservations!A114</f>
        <v/>
      </c>
      <c r="B114" s="9">
        <f>raw_reservations!B114</f>
        <v/>
      </c>
      <c r="C114" s="24">
        <f>raw_reservations!C114</f>
        <v/>
      </c>
      <c r="D114" s="24">
        <f>raw_reservations!D114</f>
        <v/>
      </c>
      <c r="E114" s="9">
        <f>raw_reservations!E114</f>
        <v/>
      </c>
      <c r="F114" s="10">
        <f>raw_reservations!F114</f>
        <v/>
      </c>
      <c r="G114" s="9">
        <f>raw_reservations!G114</f>
        <v/>
      </c>
      <c r="H114" s="10">
        <f>raw_reservations!H114</f>
        <v/>
      </c>
      <c r="I114" s="10">
        <f>raw_reservations!I114</f>
        <v/>
      </c>
      <c r="J114" s="9">
        <f>raw_reservations!J114</f>
        <v/>
      </c>
      <c r="K114" s="9">
        <f>D114-C114</f>
        <v/>
      </c>
      <c r="L114" s="9">
        <f>IF(COUNTIF(A$2:A114,A114)&gt;1,1,0)</f>
        <v/>
      </c>
      <c r="M114" s="9">
        <f>IF(COUNTIF(properties!$A$2:$A$21,B114)=0,1,0)</f>
        <v/>
      </c>
      <c r="N114" s="9">
        <f>IF(M114=1,0,IF(G114&lt;&gt;INDEX(properties!$E$2:$E$21,MATCH(B114,properties!$A$2:$A$21,0)),1,0))</f>
        <v/>
      </c>
      <c r="O114" s="9">
        <f>IF(OR(I114&gt;F114,AND(E114&lt;&gt;"cancelled",I114&gt;0)),1,0)</f>
        <v/>
      </c>
      <c r="P114" s="9">
        <f>IF(H114&lt;0,1,0)</f>
        <v/>
      </c>
      <c r="Q114" s="9">
        <f>IF(L114+M114+N114+O114=0,1,0)</f>
        <v/>
      </c>
      <c r="R114" s="9">
        <f>IF(AND(Q114=1,E114&lt;&gt;"cancelled"),COUNTIFS($B$2:$B$152,B114,$Q$2:$Q$152,1,$E$2:$E$152,"&lt;&gt;cancelled",$C$2:$C$152,"&lt;"&amp;D114,$D$2:$D$152,"&gt;"&amp;C114)-1,0)</f>
        <v/>
      </c>
      <c r="S114" s="9">
        <f>IF(AND(Q114=1,OR(R114&gt;0,P114=1)),1,0)</f>
        <v/>
      </c>
      <c r="T114" s="9">
        <f>IF(Q114=0,0,IF(AND(S114=1,Dashboard!$C$7="Нет"),0,1))</f>
        <v/>
      </c>
      <c r="U114" s="9">
        <f>IF(L114=1,"Исключено: дубль",IF(M114=1,"Исключено: нет объекта",IF(N114=1,"Исключено: валюта",IF(O114=1,"Исключено: возврат/статус",IF(S114=1,"На проверке","OK")))))</f>
        <v/>
      </c>
      <c r="V114" s="25">
        <f>SUMIFS(commission_rules!$D$2:$D$21,commission_rules!$A$2:$A$21,B114,commission_rules!$B$2:$B$21,"&lt;="&amp;C114,commission_rules!$C$2:$C$21,"&gt;="&amp;C114)</f>
        <v/>
      </c>
      <c r="W114" s="10">
        <f>F114-I114</f>
        <v/>
      </c>
      <c r="X114" s="10">
        <f>IF(F114=0,0,H114*W114/F114)</f>
        <v/>
      </c>
      <c r="Y114" s="10">
        <f>V114*W114</f>
        <v/>
      </c>
      <c r="Z114" s="10">
        <f>W114-X114</f>
        <v/>
      </c>
      <c r="AA114" s="10">
        <f>SUMIFS(calc_payments!$N$2:$N$77,calc_payments!$B$2:$B$77,A114)</f>
        <v/>
      </c>
      <c r="AB114" s="10">
        <f>AA114-Z114</f>
        <v/>
      </c>
      <c r="AC114" s="9">
        <f>IF(T114=0,"",IF(AA114=0,IF(Z114=0,"нечего получать","нет платежа"),IF(ABS(AB114)&lt;1,"сходится","расхождение")))</f>
        <v/>
      </c>
      <c r="AD114" s="9">
        <f>MAX(0,MIN(D114,Dashboard!$C$6+1)-MAX(C114,Dashboard!$C$5))</f>
        <v/>
      </c>
      <c r="AE114" s="26">
        <f>IF(K114=0,0,AD114/K114)*T114</f>
        <v/>
      </c>
      <c r="AF114" s="10">
        <f>F114*AE114</f>
        <v/>
      </c>
      <c r="AG114" s="10">
        <f>I114*AE114</f>
        <v/>
      </c>
      <c r="AH114" s="10">
        <f>W114*AE114</f>
        <v/>
      </c>
      <c r="AI114" s="10">
        <f>X114*AE114</f>
        <v/>
      </c>
      <c r="AJ114" s="10">
        <f>Y114*AE114</f>
        <v/>
      </c>
      <c r="AK114" s="9">
        <f>IF(AND(T114=1,AD114&gt;0),1,0)</f>
        <v/>
      </c>
      <c r="AL114" s="10">
        <f>Z114*AK114</f>
        <v/>
      </c>
      <c r="AM114" s="10">
        <f>AA114*AK114</f>
        <v/>
      </c>
      <c r="AN114" s="9">
        <f>AD114*T114</f>
        <v/>
      </c>
      <c r="AO114" s="9">
        <f>S114*AK114</f>
        <v/>
      </c>
    </row>
    <row r="115">
      <c r="A115" s="9">
        <f>raw_reservations!A115</f>
        <v/>
      </c>
      <c r="B115" s="9">
        <f>raw_reservations!B115</f>
        <v/>
      </c>
      <c r="C115" s="24">
        <f>raw_reservations!C115</f>
        <v/>
      </c>
      <c r="D115" s="24">
        <f>raw_reservations!D115</f>
        <v/>
      </c>
      <c r="E115" s="9">
        <f>raw_reservations!E115</f>
        <v/>
      </c>
      <c r="F115" s="10">
        <f>raw_reservations!F115</f>
        <v/>
      </c>
      <c r="G115" s="9">
        <f>raw_reservations!G115</f>
        <v/>
      </c>
      <c r="H115" s="10">
        <f>raw_reservations!H115</f>
        <v/>
      </c>
      <c r="I115" s="10">
        <f>raw_reservations!I115</f>
        <v/>
      </c>
      <c r="J115" s="9">
        <f>raw_reservations!J115</f>
        <v/>
      </c>
      <c r="K115" s="9">
        <f>D115-C115</f>
        <v/>
      </c>
      <c r="L115" s="9">
        <f>IF(COUNTIF(A$2:A115,A115)&gt;1,1,0)</f>
        <v/>
      </c>
      <c r="M115" s="9">
        <f>IF(COUNTIF(properties!$A$2:$A$21,B115)=0,1,0)</f>
        <v/>
      </c>
      <c r="N115" s="9">
        <f>IF(M115=1,0,IF(G115&lt;&gt;INDEX(properties!$E$2:$E$21,MATCH(B115,properties!$A$2:$A$21,0)),1,0))</f>
        <v/>
      </c>
      <c r="O115" s="9">
        <f>IF(OR(I115&gt;F115,AND(E115&lt;&gt;"cancelled",I115&gt;0)),1,0)</f>
        <v/>
      </c>
      <c r="P115" s="9">
        <f>IF(H115&lt;0,1,0)</f>
        <v/>
      </c>
      <c r="Q115" s="9">
        <f>IF(L115+M115+N115+O115=0,1,0)</f>
        <v/>
      </c>
      <c r="R115" s="9">
        <f>IF(AND(Q115=1,E115&lt;&gt;"cancelled"),COUNTIFS($B$2:$B$152,B115,$Q$2:$Q$152,1,$E$2:$E$152,"&lt;&gt;cancelled",$C$2:$C$152,"&lt;"&amp;D115,$D$2:$D$152,"&gt;"&amp;C115)-1,0)</f>
        <v/>
      </c>
      <c r="S115" s="9">
        <f>IF(AND(Q115=1,OR(R115&gt;0,P115=1)),1,0)</f>
        <v/>
      </c>
      <c r="T115" s="9">
        <f>IF(Q115=0,0,IF(AND(S115=1,Dashboard!$C$7="Нет"),0,1))</f>
        <v/>
      </c>
      <c r="U115" s="9">
        <f>IF(L115=1,"Исключено: дубль",IF(M115=1,"Исключено: нет объекта",IF(N115=1,"Исключено: валюта",IF(O115=1,"Исключено: возврат/статус",IF(S115=1,"На проверке","OK")))))</f>
        <v/>
      </c>
      <c r="V115" s="25">
        <f>SUMIFS(commission_rules!$D$2:$D$21,commission_rules!$A$2:$A$21,B115,commission_rules!$B$2:$B$21,"&lt;="&amp;C115,commission_rules!$C$2:$C$21,"&gt;="&amp;C115)</f>
        <v/>
      </c>
      <c r="W115" s="10">
        <f>F115-I115</f>
        <v/>
      </c>
      <c r="X115" s="10">
        <f>IF(F115=0,0,H115*W115/F115)</f>
        <v/>
      </c>
      <c r="Y115" s="10">
        <f>V115*W115</f>
        <v/>
      </c>
      <c r="Z115" s="10">
        <f>W115-X115</f>
        <v/>
      </c>
      <c r="AA115" s="10">
        <f>SUMIFS(calc_payments!$N$2:$N$77,calc_payments!$B$2:$B$77,A115)</f>
        <v/>
      </c>
      <c r="AB115" s="10">
        <f>AA115-Z115</f>
        <v/>
      </c>
      <c r="AC115" s="9">
        <f>IF(T115=0,"",IF(AA115=0,IF(Z115=0,"нечего получать","нет платежа"),IF(ABS(AB115)&lt;1,"сходится","расхождение")))</f>
        <v/>
      </c>
      <c r="AD115" s="9">
        <f>MAX(0,MIN(D115,Dashboard!$C$6+1)-MAX(C115,Dashboard!$C$5))</f>
        <v/>
      </c>
      <c r="AE115" s="26">
        <f>IF(K115=0,0,AD115/K115)*T115</f>
        <v/>
      </c>
      <c r="AF115" s="10">
        <f>F115*AE115</f>
        <v/>
      </c>
      <c r="AG115" s="10">
        <f>I115*AE115</f>
        <v/>
      </c>
      <c r="AH115" s="10">
        <f>W115*AE115</f>
        <v/>
      </c>
      <c r="AI115" s="10">
        <f>X115*AE115</f>
        <v/>
      </c>
      <c r="AJ115" s="10">
        <f>Y115*AE115</f>
        <v/>
      </c>
      <c r="AK115" s="9">
        <f>IF(AND(T115=1,AD115&gt;0),1,0)</f>
        <v/>
      </c>
      <c r="AL115" s="10">
        <f>Z115*AK115</f>
        <v/>
      </c>
      <c r="AM115" s="10">
        <f>AA115*AK115</f>
        <v/>
      </c>
      <c r="AN115" s="9">
        <f>AD115*T115</f>
        <v/>
      </c>
      <c r="AO115" s="9">
        <f>S115*AK115</f>
        <v/>
      </c>
    </row>
    <row r="116">
      <c r="A116" s="9">
        <f>raw_reservations!A116</f>
        <v/>
      </c>
      <c r="B116" s="9">
        <f>raw_reservations!B116</f>
        <v/>
      </c>
      <c r="C116" s="24">
        <f>raw_reservations!C116</f>
        <v/>
      </c>
      <c r="D116" s="24">
        <f>raw_reservations!D116</f>
        <v/>
      </c>
      <c r="E116" s="9">
        <f>raw_reservations!E116</f>
        <v/>
      </c>
      <c r="F116" s="10">
        <f>raw_reservations!F116</f>
        <v/>
      </c>
      <c r="G116" s="9">
        <f>raw_reservations!G116</f>
        <v/>
      </c>
      <c r="H116" s="10">
        <f>raw_reservations!H116</f>
        <v/>
      </c>
      <c r="I116" s="10">
        <f>raw_reservations!I116</f>
        <v/>
      </c>
      <c r="J116" s="9">
        <f>raw_reservations!J116</f>
        <v/>
      </c>
      <c r="K116" s="9">
        <f>D116-C116</f>
        <v/>
      </c>
      <c r="L116" s="9">
        <f>IF(COUNTIF(A$2:A116,A116)&gt;1,1,0)</f>
        <v/>
      </c>
      <c r="M116" s="9">
        <f>IF(COUNTIF(properties!$A$2:$A$21,B116)=0,1,0)</f>
        <v/>
      </c>
      <c r="N116" s="9">
        <f>IF(M116=1,0,IF(G116&lt;&gt;INDEX(properties!$E$2:$E$21,MATCH(B116,properties!$A$2:$A$21,0)),1,0))</f>
        <v/>
      </c>
      <c r="O116" s="9">
        <f>IF(OR(I116&gt;F116,AND(E116&lt;&gt;"cancelled",I116&gt;0)),1,0)</f>
        <v/>
      </c>
      <c r="P116" s="9">
        <f>IF(H116&lt;0,1,0)</f>
        <v/>
      </c>
      <c r="Q116" s="9">
        <f>IF(L116+M116+N116+O116=0,1,0)</f>
        <v/>
      </c>
      <c r="R116" s="9">
        <f>IF(AND(Q116=1,E116&lt;&gt;"cancelled"),COUNTIFS($B$2:$B$152,B116,$Q$2:$Q$152,1,$E$2:$E$152,"&lt;&gt;cancelled",$C$2:$C$152,"&lt;"&amp;D116,$D$2:$D$152,"&gt;"&amp;C116)-1,0)</f>
        <v/>
      </c>
      <c r="S116" s="9">
        <f>IF(AND(Q116=1,OR(R116&gt;0,P116=1)),1,0)</f>
        <v/>
      </c>
      <c r="T116" s="9">
        <f>IF(Q116=0,0,IF(AND(S116=1,Dashboard!$C$7="Нет"),0,1))</f>
        <v/>
      </c>
      <c r="U116" s="9">
        <f>IF(L116=1,"Исключено: дубль",IF(M116=1,"Исключено: нет объекта",IF(N116=1,"Исключено: валюта",IF(O116=1,"Исключено: возврат/статус",IF(S116=1,"На проверке","OK")))))</f>
        <v/>
      </c>
      <c r="V116" s="25">
        <f>SUMIFS(commission_rules!$D$2:$D$21,commission_rules!$A$2:$A$21,B116,commission_rules!$B$2:$B$21,"&lt;="&amp;C116,commission_rules!$C$2:$C$21,"&gt;="&amp;C116)</f>
        <v/>
      </c>
      <c r="W116" s="10">
        <f>F116-I116</f>
        <v/>
      </c>
      <c r="X116" s="10">
        <f>IF(F116=0,0,H116*W116/F116)</f>
        <v/>
      </c>
      <c r="Y116" s="10">
        <f>V116*W116</f>
        <v/>
      </c>
      <c r="Z116" s="10">
        <f>W116-X116</f>
        <v/>
      </c>
      <c r="AA116" s="10">
        <f>SUMIFS(calc_payments!$N$2:$N$77,calc_payments!$B$2:$B$77,A116)</f>
        <v/>
      </c>
      <c r="AB116" s="10">
        <f>AA116-Z116</f>
        <v/>
      </c>
      <c r="AC116" s="9">
        <f>IF(T116=0,"",IF(AA116=0,IF(Z116=0,"нечего получать","нет платежа"),IF(ABS(AB116)&lt;1,"сходится","расхождение")))</f>
        <v/>
      </c>
      <c r="AD116" s="9">
        <f>MAX(0,MIN(D116,Dashboard!$C$6+1)-MAX(C116,Dashboard!$C$5))</f>
        <v/>
      </c>
      <c r="AE116" s="26">
        <f>IF(K116=0,0,AD116/K116)*T116</f>
        <v/>
      </c>
      <c r="AF116" s="10">
        <f>F116*AE116</f>
        <v/>
      </c>
      <c r="AG116" s="10">
        <f>I116*AE116</f>
        <v/>
      </c>
      <c r="AH116" s="10">
        <f>W116*AE116</f>
        <v/>
      </c>
      <c r="AI116" s="10">
        <f>X116*AE116</f>
        <v/>
      </c>
      <c r="AJ116" s="10">
        <f>Y116*AE116</f>
        <v/>
      </c>
      <c r="AK116" s="9">
        <f>IF(AND(T116=1,AD116&gt;0),1,0)</f>
        <v/>
      </c>
      <c r="AL116" s="10">
        <f>Z116*AK116</f>
        <v/>
      </c>
      <c r="AM116" s="10">
        <f>AA116*AK116</f>
        <v/>
      </c>
      <c r="AN116" s="9">
        <f>AD116*T116</f>
        <v/>
      </c>
      <c r="AO116" s="9">
        <f>S116*AK116</f>
        <v/>
      </c>
    </row>
    <row r="117">
      <c r="A117" s="9">
        <f>raw_reservations!A117</f>
        <v/>
      </c>
      <c r="B117" s="9">
        <f>raw_reservations!B117</f>
        <v/>
      </c>
      <c r="C117" s="24">
        <f>raw_reservations!C117</f>
        <v/>
      </c>
      <c r="D117" s="24">
        <f>raw_reservations!D117</f>
        <v/>
      </c>
      <c r="E117" s="9">
        <f>raw_reservations!E117</f>
        <v/>
      </c>
      <c r="F117" s="10">
        <f>raw_reservations!F117</f>
        <v/>
      </c>
      <c r="G117" s="9">
        <f>raw_reservations!G117</f>
        <v/>
      </c>
      <c r="H117" s="10">
        <f>raw_reservations!H117</f>
        <v/>
      </c>
      <c r="I117" s="10">
        <f>raw_reservations!I117</f>
        <v/>
      </c>
      <c r="J117" s="9">
        <f>raw_reservations!J117</f>
        <v/>
      </c>
      <c r="K117" s="9">
        <f>D117-C117</f>
        <v/>
      </c>
      <c r="L117" s="9">
        <f>IF(COUNTIF(A$2:A117,A117)&gt;1,1,0)</f>
        <v/>
      </c>
      <c r="M117" s="9">
        <f>IF(COUNTIF(properties!$A$2:$A$21,B117)=0,1,0)</f>
        <v/>
      </c>
      <c r="N117" s="9">
        <f>IF(M117=1,0,IF(G117&lt;&gt;INDEX(properties!$E$2:$E$21,MATCH(B117,properties!$A$2:$A$21,0)),1,0))</f>
        <v/>
      </c>
      <c r="O117" s="9">
        <f>IF(OR(I117&gt;F117,AND(E117&lt;&gt;"cancelled",I117&gt;0)),1,0)</f>
        <v/>
      </c>
      <c r="P117" s="9">
        <f>IF(H117&lt;0,1,0)</f>
        <v/>
      </c>
      <c r="Q117" s="9">
        <f>IF(L117+M117+N117+O117=0,1,0)</f>
        <v/>
      </c>
      <c r="R117" s="9">
        <f>IF(AND(Q117=1,E117&lt;&gt;"cancelled"),COUNTIFS($B$2:$B$152,B117,$Q$2:$Q$152,1,$E$2:$E$152,"&lt;&gt;cancelled",$C$2:$C$152,"&lt;"&amp;D117,$D$2:$D$152,"&gt;"&amp;C117)-1,0)</f>
        <v/>
      </c>
      <c r="S117" s="9">
        <f>IF(AND(Q117=1,OR(R117&gt;0,P117=1)),1,0)</f>
        <v/>
      </c>
      <c r="T117" s="9">
        <f>IF(Q117=0,0,IF(AND(S117=1,Dashboard!$C$7="Нет"),0,1))</f>
        <v/>
      </c>
      <c r="U117" s="9">
        <f>IF(L117=1,"Исключено: дубль",IF(M117=1,"Исключено: нет объекта",IF(N117=1,"Исключено: валюта",IF(O117=1,"Исключено: возврат/статус",IF(S117=1,"На проверке","OK")))))</f>
        <v/>
      </c>
      <c r="V117" s="25">
        <f>SUMIFS(commission_rules!$D$2:$D$21,commission_rules!$A$2:$A$21,B117,commission_rules!$B$2:$B$21,"&lt;="&amp;C117,commission_rules!$C$2:$C$21,"&gt;="&amp;C117)</f>
        <v/>
      </c>
      <c r="W117" s="10">
        <f>F117-I117</f>
        <v/>
      </c>
      <c r="X117" s="10">
        <f>IF(F117=0,0,H117*W117/F117)</f>
        <v/>
      </c>
      <c r="Y117" s="10">
        <f>V117*W117</f>
        <v/>
      </c>
      <c r="Z117" s="10">
        <f>W117-X117</f>
        <v/>
      </c>
      <c r="AA117" s="10">
        <f>SUMIFS(calc_payments!$N$2:$N$77,calc_payments!$B$2:$B$77,A117)</f>
        <v/>
      </c>
      <c r="AB117" s="10">
        <f>AA117-Z117</f>
        <v/>
      </c>
      <c r="AC117" s="9">
        <f>IF(T117=0,"",IF(AA117=0,IF(Z117=0,"нечего получать","нет платежа"),IF(ABS(AB117)&lt;1,"сходится","расхождение")))</f>
        <v/>
      </c>
      <c r="AD117" s="9">
        <f>MAX(0,MIN(D117,Dashboard!$C$6+1)-MAX(C117,Dashboard!$C$5))</f>
        <v/>
      </c>
      <c r="AE117" s="26">
        <f>IF(K117=0,0,AD117/K117)*T117</f>
        <v/>
      </c>
      <c r="AF117" s="10">
        <f>F117*AE117</f>
        <v/>
      </c>
      <c r="AG117" s="10">
        <f>I117*AE117</f>
        <v/>
      </c>
      <c r="AH117" s="10">
        <f>W117*AE117</f>
        <v/>
      </c>
      <c r="AI117" s="10">
        <f>X117*AE117</f>
        <v/>
      </c>
      <c r="AJ117" s="10">
        <f>Y117*AE117</f>
        <v/>
      </c>
      <c r="AK117" s="9">
        <f>IF(AND(T117=1,AD117&gt;0),1,0)</f>
        <v/>
      </c>
      <c r="AL117" s="10">
        <f>Z117*AK117</f>
        <v/>
      </c>
      <c r="AM117" s="10">
        <f>AA117*AK117</f>
        <v/>
      </c>
      <c r="AN117" s="9">
        <f>AD117*T117</f>
        <v/>
      </c>
      <c r="AO117" s="9">
        <f>S117*AK117</f>
        <v/>
      </c>
    </row>
    <row r="118">
      <c r="A118" s="9">
        <f>raw_reservations!A118</f>
        <v/>
      </c>
      <c r="B118" s="9">
        <f>raw_reservations!B118</f>
        <v/>
      </c>
      <c r="C118" s="24">
        <f>raw_reservations!C118</f>
        <v/>
      </c>
      <c r="D118" s="24">
        <f>raw_reservations!D118</f>
        <v/>
      </c>
      <c r="E118" s="9">
        <f>raw_reservations!E118</f>
        <v/>
      </c>
      <c r="F118" s="10">
        <f>raw_reservations!F118</f>
        <v/>
      </c>
      <c r="G118" s="9">
        <f>raw_reservations!G118</f>
        <v/>
      </c>
      <c r="H118" s="10">
        <f>raw_reservations!H118</f>
        <v/>
      </c>
      <c r="I118" s="10">
        <f>raw_reservations!I118</f>
        <v/>
      </c>
      <c r="J118" s="9">
        <f>raw_reservations!J118</f>
        <v/>
      </c>
      <c r="K118" s="9">
        <f>D118-C118</f>
        <v/>
      </c>
      <c r="L118" s="9">
        <f>IF(COUNTIF(A$2:A118,A118)&gt;1,1,0)</f>
        <v/>
      </c>
      <c r="M118" s="9">
        <f>IF(COUNTIF(properties!$A$2:$A$21,B118)=0,1,0)</f>
        <v/>
      </c>
      <c r="N118" s="9">
        <f>IF(M118=1,0,IF(G118&lt;&gt;INDEX(properties!$E$2:$E$21,MATCH(B118,properties!$A$2:$A$21,0)),1,0))</f>
        <v/>
      </c>
      <c r="O118" s="9">
        <f>IF(OR(I118&gt;F118,AND(E118&lt;&gt;"cancelled",I118&gt;0)),1,0)</f>
        <v/>
      </c>
      <c r="P118" s="9">
        <f>IF(H118&lt;0,1,0)</f>
        <v/>
      </c>
      <c r="Q118" s="9">
        <f>IF(L118+M118+N118+O118=0,1,0)</f>
        <v/>
      </c>
      <c r="R118" s="9">
        <f>IF(AND(Q118=1,E118&lt;&gt;"cancelled"),COUNTIFS($B$2:$B$152,B118,$Q$2:$Q$152,1,$E$2:$E$152,"&lt;&gt;cancelled",$C$2:$C$152,"&lt;"&amp;D118,$D$2:$D$152,"&gt;"&amp;C118)-1,0)</f>
        <v/>
      </c>
      <c r="S118" s="9">
        <f>IF(AND(Q118=1,OR(R118&gt;0,P118=1)),1,0)</f>
        <v/>
      </c>
      <c r="T118" s="9">
        <f>IF(Q118=0,0,IF(AND(S118=1,Dashboard!$C$7="Нет"),0,1))</f>
        <v/>
      </c>
      <c r="U118" s="9">
        <f>IF(L118=1,"Исключено: дубль",IF(M118=1,"Исключено: нет объекта",IF(N118=1,"Исключено: валюта",IF(O118=1,"Исключено: возврат/статус",IF(S118=1,"На проверке","OK")))))</f>
        <v/>
      </c>
      <c r="V118" s="25">
        <f>SUMIFS(commission_rules!$D$2:$D$21,commission_rules!$A$2:$A$21,B118,commission_rules!$B$2:$B$21,"&lt;="&amp;C118,commission_rules!$C$2:$C$21,"&gt;="&amp;C118)</f>
        <v/>
      </c>
      <c r="W118" s="10">
        <f>F118-I118</f>
        <v/>
      </c>
      <c r="X118" s="10">
        <f>IF(F118=0,0,H118*W118/F118)</f>
        <v/>
      </c>
      <c r="Y118" s="10">
        <f>V118*W118</f>
        <v/>
      </c>
      <c r="Z118" s="10">
        <f>W118-X118</f>
        <v/>
      </c>
      <c r="AA118" s="10">
        <f>SUMIFS(calc_payments!$N$2:$N$77,calc_payments!$B$2:$B$77,A118)</f>
        <v/>
      </c>
      <c r="AB118" s="10">
        <f>AA118-Z118</f>
        <v/>
      </c>
      <c r="AC118" s="9">
        <f>IF(T118=0,"",IF(AA118=0,IF(Z118=0,"нечего получать","нет платежа"),IF(ABS(AB118)&lt;1,"сходится","расхождение")))</f>
        <v/>
      </c>
      <c r="AD118" s="9">
        <f>MAX(0,MIN(D118,Dashboard!$C$6+1)-MAX(C118,Dashboard!$C$5))</f>
        <v/>
      </c>
      <c r="AE118" s="26">
        <f>IF(K118=0,0,AD118/K118)*T118</f>
        <v/>
      </c>
      <c r="AF118" s="10">
        <f>F118*AE118</f>
        <v/>
      </c>
      <c r="AG118" s="10">
        <f>I118*AE118</f>
        <v/>
      </c>
      <c r="AH118" s="10">
        <f>W118*AE118</f>
        <v/>
      </c>
      <c r="AI118" s="10">
        <f>X118*AE118</f>
        <v/>
      </c>
      <c r="AJ118" s="10">
        <f>Y118*AE118</f>
        <v/>
      </c>
      <c r="AK118" s="9">
        <f>IF(AND(T118=1,AD118&gt;0),1,0)</f>
        <v/>
      </c>
      <c r="AL118" s="10">
        <f>Z118*AK118</f>
        <v/>
      </c>
      <c r="AM118" s="10">
        <f>AA118*AK118</f>
        <v/>
      </c>
      <c r="AN118" s="9">
        <f>AD118*T118</f>
        <v/>
      </c>
      <c r="AO118" s="9">
        <f>S118*AK118</f>
        <v/>
      </c>
    </row>
    <row r="119">
      <c r="A119" s="9">
        <f>raw_reservations!A119</f>
        <v/>
      </c>
      <c r="B119" s="9">
        <f>raw_reservations!B119</f>
        <v/>
      </c>
      <c r="C119" s="24">
        <f>raw_reservations!C119</f>
        <v/>
      </c>
      <c r="D119" s="24">
        <f>raw_reservations!D119</f>
        <v/>
      </c>
      <c r="E119" s="9">
        <f>raw_reservations!E119</f>
        <v/>
      </c>
      <c r="F119" s="10">
        <f>raw_reservations!F119</f>
        <v/>
      </c>
      <c r="G119" s="9">
        <f>raw_reservations!G119</f>
        <v/>
      </c>
      <c r="H119" s="10">
        <f>raw_reservations!H119</f>
        <v/>
      </c>
      <c r="I119" s="10">
        <f>raw_reservations!I119</f>
        <v/>
      </c>
      <c r="J119" s="9">
        <f>raw_reservations!J119</f>
        <v/>
      </c>
      <c r="K119" s="9">
        <f>D119-C119</f>
        <v/>
      </c>
      <c r="L119" s="9">
        <f>IF(COUNTIF(A$2:A119,A119)&gt;1,1,0)</f>
        <v/>
      </c>
      <c r="M119" s="9">
        <f>IF(COUNTIF(properties!$A$2:$A$21,B119)=0,1,0)</f>
        <v/>
      </c>
      <c r="N119" s="9">
        <f>IF(M119=1,0,IF(G119&lt;&gt;INDEX(properties!$E$2:$E$21,MATCH(B119,properties!$A$2:$A$21,0)),1,0))</f>
        <v/>
      </c>
      <c r="O119" s="9">
        <f>IF(OR(I119&gt;F119,AND(E119&lt;&gt;"cancelled",I119&gt;0)),1,0)</f>
        <v/>
      </c>
      <c r="P119" s="9">
        <f>IF(H119&lt;0,1,0)</f>
        <v/>
      </c>
      <c r="Q119" s="9">
        <f>IF(L119+M119+N119+O119=0,1,0)</f>
        <v/>
      </c>
      <c r="R119" s="9">
        <f>IF(AND(Q119=1,E119&lt;&gt;"cancelled"),COUNTIFS($B$2:$B$152,B119,$Q$2:$Q$152,1,$E$2:$E$152,"&lt;&gt;cancelled",$C$2:$C$152,"&lt;"&amp;D119,$D$2:$D$152,"&gt;"&amp;C119)-1,0)</f>
        <v/>
      </c>
      <c r="S119" s="9">
        <f>IF(AND(Q119=1,OR(R119&gt;0,P119=1)),1,0)</f>
        <v/>
      </c>
      <c r="T119" s="9">
        <f>IF(Q119=0,0,IF(AND(S119=1,Dashboard!$C$7="Нет"),0,1))</f>
        <v/>
      </c>
      <c r="U119" s="9">
        <f>IF(L119=1,"Исключено: дубль",IF(M119=1,"Исключено: нет объекта",IF(N119=1,"Исключено: валюта",IF(O119=1,"Исключено: возврат/статус",IF(S119=1,"На проверке","OK")))))</f>
        <v/>
      </c>
      <c r="V119" s="25">
        <f>SUMIFS(commission_rules!$D$2:$D$21,commission_rules!$A$2:$A$21,B119,commission_rules!$B$2:$B$21,"&lt;="&amp;C119,commission_rules!$C$2:$C$21,"&gt;="&amp;C119)</f>
        <v/>
      </c>
      <c r="W119" s="10">
        <f>F119-I119</f>
        <v/>
      </c>
      <c r="X119" s="10">
        <f>IF(F119=0,0,H119*W119/F119)</f>
        <v/>
      </c>
      <c r="Y119" s="10">
        <f>V119*W119</f>
        <v/>
      </c>
      <c r="Z119" s="10">
        <f>W119-X119</f>
        <v/>
      </c>
      <c r="AA119" s="10">
        <f>SUMIFS(calc_payments!$N$2:$N$77,calc_payments!$B$2:$B$77,A119)</f>
        <v/>
      </c>
      <c r="AB119" s="10">
        <f>AA119-Z119</f>
        <v/>
      </c>
      <c r="AC119" s="9">
        <f>IF(T119=0,"",IF(AA119=0,IF(Z119=0,"нечего получать","нет платежа"),IF(ABS(AB119)&lt;1,"сходится","расхождение")))</f>
        <v/>
      </c>
      <c r="AD119" s="9">
        <f>MAX(0,MIN(D119,Dashboard!$C$6+1)-MAX(C119,Dashboard!$C$5))</f>
        <v/>
      </c>
      <c r="AE119" s="26">
        <f>IF(K119=0,0,AD119/K119)*T119</f>
        <v/>
      </c>
      <c r="AF119" s="10">
        <f>F119*AE119</f>
        <v/>
      </c>
      <c r="AG119" s="10">
        <f>I119*AE119</f>
        <v/>
      </c>
      <c r="AH119" s="10">
        <f>W119*AE119</f>
        <v/>
      </c>
      <c r="AI119" s="10">
        <f>X119*AE119</f>
        <v/>
      </c>
      <c r="AJ119" s="10">
        <f>Y119*AE119</f>
        <v/>
      </c>
      <c r="AK119" s="9">
        <f>IF(AND(T119=1,AD119&gt;0),1,0)</f>
        <v/>
      </c>
      <c r="AL119" s="10">
        <f>Z119*AK119</f>
        <v/>
      </c>
      <c r="AM119" s="10">
        <f>AA119*AK119</f>
        <v/>
      </c>
      <c r="AN119" s="9">
        <f>AD119*T119</f>
        <v/>
      </c>
      <c r="AO119" s="9">
        <f>S119*AK119</f>
        <v/>
      </c>
    </row>
    <row r="120">
      <c r="A120" s="9">
        <f>raw_reservations!A120</f>
        <v/>
      </c>
      <c r="B120" s="9">
        <f>raw_reservations!B120</f>
        <v/>
      </c>
      <c r="C120" s="24">
        <f>raw_reservations!C120</f>
        <v/>
      </c>
      <c r="D120" s="24">
        <f>raw_reservations!D120</f>
        <v/>
      </c>
      <c r="E120" s="9">
        <f>raw_reservations!E120</f>
        <v/>
      </c>
      <c r="F120" s="10">
        <f>raw_reservations!F120</f>
        <v/>
      </c>
      <c r="G120" s="9">
        <f>raw_reservations!G120</f>
        <v/>
      </c>
      <c r="H120" s="10">
        <f>raw_reservations!H120</f>
        <v/>
      </c>
      <c r="I120" s="10">
        <f>raw_reservations!I120</f>
        <v/>
      </c>
      <c r="J120" s="9">
        <f>raw_reservations!J120</f>
        <v/>
      </c>
      <c r="K120" s="9">
        <f>D120-C120</f>
        <v/>
      </c>
      <c r="L120" s="9">
        <f>IF(COUNTIF(A$2:A120,A120)&gt;1,1,0)</f>
        <v/>
      </c>
      <c r="M120" s="9">
        <f>IF(COUNTIF(properties!$A$2:$A$21,B120)=0,1,0)</f>
        <v/>
      </c>
      <c r="N120" s="9">
        <f>IF(M120=1,0,IF(G120&lt;&gt;INDEX(properties!$E$2:$E$21,MATCH(B120,properties!$A$2:$A$21,0)),1,0))</f>
        <v/>
      </c>
      <c r="O120" s="9">
        <f>IF(OR(I120&gt;F120,AND(E120&lt;&gt;"cancelled",I120&gt;0)),1,0)</f>
        <v/>
      </c>
      <c r="P120" s="9">
        <f>IF(H120&lt;0,1,0)</f>
        <v/>
      </c>
      <c r="Q120" s="9">
        <f>IF(L120+M120+N120+O120=0,1,0)</f>
        <v/>
      </c>
      <c r="R120" s="9">
        <f>IF(AND(Q120=1,E120&lt;&gt;"cancelled"),COUNTIFS($B$2:$B$152,B120,$Q$2:$Q$152,1,$E$2:$E$152,"&lt;&gt;cancelled",$C$2:$C$152,"&lt;"&amp;D120,$D$2:$D$152,"&gt;"&amp;C120)-1,0)</f>
        <v/>
      </c>
      <c r="S120" s="9">
        <f>IF(AND(Q120=1,OR(R120&gt;0,P120=1)),1,0)</f>
        <v/>
      </c>
      <c r="T120" s="9">
        <f>IF(Q120=0,0,IF(AND(S120=1,Dashboard!$C$7="Нет"),0,1))</f>
        <v/>
      </c>
      <c r="U120" s="9">
        <f>IF(L120=1,"Исключено: дубль",IF(M120=1,"Исключено: нет объекта",IF(N120=1,"Исключено: валюта",IF(O120=1,"Исключено: возврат/статус",IF(S120=1,"На проверке","OK")))))</f>
        <v/>
      </c>
      <c r="V120" s="25">
        <f>SUMIFS(commission_rules!$D$2:$D$21,commission_rules!$A$2:$A$21,B120,commission_rules!$B$2:$B$21,"&lt;="&amp;C120,commission_rules!$C$2:$C$21,"&gt;="&amp;C120)</f>
        <v/>
      </c>
      <c r="W120" s="10">
        <f>F120-I120</f>
        <v/>
      </c>
      <c r="X120" s="10">
        <f>IF(F120=0,0,H120*W120/F120)</f>
        <v/>
      </c>
      <c r="Y120" s="10">
        <f>V120*W120</f>
        <v/>
      </c>
      <c r="Z120" s="10">
        <f>W120-X120</f>
        <v/>
      </c>
      <c r="AA120" s="10">
        <f>SUMIFS(calc_payments!$N$2:$N$77,calc_payments!$B$2:$B$77,A120)</f>
        <v/>
      </c>
      <c r="AB120" s="10">
        <f>AA120-Z120</f>
        <v/>
      </c>
      <c r="AC120" s="9">
        <f>IF(T120=0,"",IF(AA120=0,IF(Z120=0,"нечего получать","нет платежа"),IF(ABS(AB120)&lt;1,"сходится","расхождение")))</f>
        <v/>
      </c>
      <c r="AD120" s="9">
        <f>MAX(0,MIN(D120,Dashboard!$C$6+1)-MAX(C120,Dashboard!$C$5))</f>
        <v/>
      </c>
      <c r="AE120" s="26">
        <f>IF(K120=0,0,AD120/K120)*T120</f>
        <v/>
      </c>
      <c r="AF120" s="10">
        <f>F120*AE120</f>
        <v/>
      </c>
      <c r="AG120" s="10">
        <f>I120*AE120</f>
        <v/>
      </c>
      <c r="AH120" s="10">
        <f>W120*AE120</f>
        <v/>
      </c>
      <c r="AI120" s="10">
        <f>X120*AE120</f>
        <v/>
      </c>
      <c r="AJ120" s="10">
        <f>Y120*AE120</f>
        <v/>
      </c>
      <c r="AK120" s="9">
        <f>IF(AND(T120=1,AD120&gt;0),1,0)</f>
        <v/>
      </c>
      <c r="AL120" s="10">
        <f>Z120*AK120</f>
        <v/>
      </c>
      <c r="AM120" s="10">
        <f>AA120*AK120</f>
        <v/>
      </c>
      <c r="AN120" s="9">
        <f>AD120*T120</f>
        <v/>
      </c>
      <c r="AO120" s="9">
        <f>S120*AK120</f>
        <v/>
      </c>
    </row>
    <row r="121">
      <c r="A121" s="9">
        <f>raw_reservations!A121</f>
        <v/>
      </c>
      <c r="B121" s="9">
        <f>raw_reservations!B121</f>
        <v/>
      </c>
      <c r="C121" s="24">
        <f>raw_reservations!C121</f>
        <v/>
      </c>
      <c r="D121" s="24">
        <f>raw_reservations!D121</f>
        <v/>
      </c>
      <c r="E121" s="9">
        <f>raw_reservations!E121</f>
        <v/>
      </c>
      <c r="F121" s="10">
        <f>raw_reservations!F121</f>
        <v/>
      </c>
      <c r="G121" s="9">
        <f>raw_reservations!G121</f>
        <v/>
      </c>
      <c r="H121" s="10">
        <f>raw_reservations!H121</f>
        <v/>
      </c>
      <c r="I121" s="10">
        <f>raw_reservations!I121</f>
        <v/>
      </c>
      <c r="J121" s="9">
        <f>raw_reservations!J121</f>
        <v/>
      </c>
      <c r="K121" s="9">
        <f>D121-C121</f>
        <v/>
      </c>
      <c r="L121" s="9">
        <f>IF(COUNTIF(A$2:A121,A121)&gt;1,1,0)</f>
        <v/>
      </c>
      <c r="M121" s="9">
        <f>IF(COUNTIF(properties!$A$2:$A$21,B121)=0,1,0)</f>
        <v/>
      </c>
      <c r="N121" s="9">
        <f>IF(M121=1,0,IF(G121&lt;&gt;INDEX(properties!$E$2:$E$21,MATCH(B121,properties!$A$2:$A$21,0)),1,0))</f>
        <v/>
      </c>
      <c r="O121" s="9">
        <f>IF(OR(I121&gt;F121,AND(E121&lt;&gt;"cancelled",I121&gt;0)),1,0)</f>
        <v/>
      </c>
      <c r="P121" s="9">
        <f>IF(H121&lt;0,1,0)</f>
        <v/>
      </c>
      <c r="Q121" s="9">
        <f>IF(L121+M121+N121+O121=0,1,0)</f>
        <v/>
      </c>
      <c r="R121" s="9">
        <f>IF(AND(Q121=1,E121&lt;&gt;"cancelled"),COUNTIFS($B$2:$B$152,B121,$Q$2:$Q$152,1,$E$2:$E$152,"&lt;&gt;cancelled",$C$2:$C$152,"&lt;"&amp;D121,$D$2:$D$152,"&gt;"&amp;C121)-1,0)</f>
        <v/>
      </c>
      <c r="S121" s="9">
        <f>IF(AND(Q121=1,OR(R121&gt;0,P121=1)),1,0)</f>
        <v/>
      </c>
      <c r="T121" s="9">
        <f>IF(Q121=0,0,IF(AND(S121=1,Dashboard!$C$7="Нет"),0,1))</f>
        <v/>
      </c>
      <c r="U121" s="9">
        <f>IF(L121=1,"Исключено: дубль",IF(M121=1,"Исключено: нет объекта",IF(N121=1,"Исключено: валюта",IF(O121=1,"Исключено: возврат/статус",IF(S121=1,"На проверке","OK")))))</f>
        <v/>
      </c>
      <c r="V121" s="25">
        <f>SUMIFS(commission_rules!$D$2:$D$21,commission_rules!$A$2:$A$21,B121,commission_rules!$B$2:$B$21,"&lt;="&amp;C121,commission_rules!$C$2:$C$21,"&gt;="&amp;C121)</f>
        <v/>
      </c>
      <c r="W121" s="10">
        <f>F121-I121</f>
        <v/>
      </c>
      <c r="X121" s="10">
        <f>IF(F121=0,0,H121*W121/F121)</f>
        <v/>
      </c>
      <c r="Y121" s="10">
        <f>V121*W121</f>
        <v/>
      </c>
      <c r="Z121" s="10">
        <f>W121-X121</f>
        <v/>
      </c>
      <c r="AA121" s="10">
        <f>SUMIFS(calc_payments!$N$2:$N$77,calc_payments!$B$2:$B$77,A121)</f>
        <v/>
      </c>
      <c r="AB121" s="10">
        <f>AA121-Z121</f>
        <v/>
      </c>
      <c r="AC121" s="9">
        <f>IF(T121=0,"",IF(AA121=0,IF(Z121=0,"нечего получать","нет платежа"),IF(ABS(AB121)&lt;1,"сходится","расхождение")))</f>
        <v/>
      </c>
      <c r="AD121" s="9">
        <f>MAX(0,MIN(D121,Dashboard!$C$6+1)-MAX(C121,Dashboard!$C$5))</f>
        <v/>
      </c>
      <c r="AE121" s="26">
        <f>IF(K121=0,0,AD121/K121)*T121</f>
        <v/>
      </c>
      <c r="AF121" s="10">
        <f>F121*AE121</f>
        <v/>
      </c>
      <c r="AG121" s="10">
        <f>I121*AE121</f>
        <v/>
      </c>
      <c r="AH121" s="10">
        <f>W121*AE121</f>
        <v/>
      </c>
      <c r="AI121" s="10">
        <f>X121*AE121</f>
        <v/>
      </c>
      <c r="AJ121" s="10">
        <f>Y121*AE121</f>
        <v/>
      </c>
      <c r="AK121" s="9">
        <f>IF(AND(T121=1,AD121&gt;0),1,0)</f>
        <v/>
      </c>
      <c r="AL121" s="10">
        <f>Z121*AK121</f>
        <v/>
      </c>
      <c r="AM121" s="10">
        <f>AA121*AK121</f>
        <v/>
      </c>
      <c r="AN121" s="9">
        <f>AD121*T121</f>
        <v/>
      </c>
      <c r="AO121" s="9">
        <f>S121*AK121</f>
        <v/>
      </c>
    </row>
    <row r="122">
      <c r="A122" s="9">
        <f>raw_reservations!A122</f>
        <v/>
      </c>
      <c r="B122" s="9">
        <f>raw_reservations!B122</f>
        <v/>
      </c>
      <c r="C122" s="24">
        <f>raw_reservations!C122</f>
        <v/>
      </c>
      <c r="D122" s="24">
        <f>raw_reservations!D122</f>
        <v/>
      </c>
      <c r="E122" s="9">
        <f>raw_reservations!E122</f>
        <v/>
      </c>
      <c r="F122" s="10">
        <f>raw_reservations!F122</f>
        <v/>
      </c>
      <c r="G122" s="9">
        <f>raw_reservations!G122</f>
        <v/>
      </c>
      <c r="H122" s="10">
        <f>raw_reservations!H122</f>
        <v/>
      </c>
      <c r="I122" s="10">
        <f>raw_reservations!I122</f>
        <v/>
      </c>
      <c r="J122" s="9">
        <f>raw_reservations!J122</f>
        <v/>
      </c>
      <c r="K122" s="9">
        <f>D122-C122</f>
        <v/>
      </c>
      <c r="L122" s="9">
        <f>IF(COUNTIF(A$2:A122,A122)&gt;1,1,0)</f>
        <v/>
      </c>
      <c r="M122" s="9">
        <f>IF(COUNTIF(properties!$A$2:$A$21,B122)=0,1,0)</f>
        <v/>
      </c>
      <c r="N122" s="9">
        <f>IF(M122=1,0,IF(G122&lt;&gt;INDEX(properties!$E$2:$E$21,MATCH(B122,properties!$A$2:$A$21,0)),1,0))</f>
        <v/>
      </c>
      <c r="O122" s="9">
        <f>IF(OR(I122&gt;F122,AND(E122&lt;&gt;"cancelled",I122&gt;0)),1,0)</f>
        <v/>
      </c>
      <c r="P122" s="9">
        <f>IF(H122&lt;0,1,0)</f>
        <v/>
      </c>
      <c r="Q122" s="9">
        <f>IF(L122+M122+N122+O122=0,1,0)</f>
        <v/>
      </c>
      <c r="R122" s="9">
        <f>IF(AND(Q122=1,E122&lt;&gt;"cancelled"),COUNTIFS($B$2:$B$152,B122,$Q$2:$Q$152,1,$E$2:$E$152,"&lt;&gt;cancelled",$C$2:$C$152,"&lt;"&amp;D122,$D$2:$D$152,"&gt;"&amp;C122)-1,0)</f>
        <v/>
      </c>
      <c r="S122" s="9">
        <f>IF(AND(Q122=1,OR(R122&gt;0,P122=1)),1,0)</f>
        <v/>
      </c>
      <c r="T122" s="9">
        <f>IF(Q122=0,0,IF(AND(S122=1,Dashboard!$C$7="Нет"),0,1))</f>
        <v/>
      </c>
      <c r="U122" s="9">
        <f>IF(L122=1,"Исключено: дубль",IF(M122=1,"Исключено: нет объекта",IF(N122=1,"Исключено: валюта",IF(O122=1,"Исключено: возврат/статус",IF(S122=1,"На проверке","OK")))))</f>
        <v/>
      </c>
      <c r="V122" s="25">
        <f>SUMIFS(commission_rules!$D$2:$D$21,commission_rules!$A$2:$A$21,B122,commission_rules!$B$2:$B$21,"&lt;="&amp;C122,commission_rules!$C$2:$C$21,"&gt;="&amp;C122)</f>
        <v/>
      </c>
      <c r="W122" s="10">
        <f>F122-I122</f>
        <v/>
      </c>
      <c r="X122" s="10">
        <f>IF(F122=0,0,H122*W122/F122)</f>
        <v/>
      </c>
      <c r="Y122" s="10">
        <f>V122*W122</f>
        <v/>
      </c>
      <c r="Z122" s="10">
        <f>W122-X122</f>
        <v/>
      </c>
      <c r="AA122" s="10">
        <f>SUMIFS(calc_payments!$N$2:$N$77,calc_payments!$B$2:$B$77,A122)</f>
        <v/>
      </c>
      <c r="AB122" s="10">
        <f>AA122-Z122</f>
        <v/>
      </c>
      <c r="AC122" s="9">
        <f>IF(T122=0,"",IF(AA122=0,IF(Z122=0,"нечего получать","нет платежа"),IF(ABS(AB122)&lt;1,"сходится","расхождение")))</f>
        <v/>
      </c>
      <c r="AD122" s="9">
        <f>MAX(0,MIN(D122,Dashboard!$C$6+1)-MAX(C122,Dashboard!$C$5))</f>
        <v/>
      </c>
      <c r="AE122" s="26">
        <f>IF(K122=0,0,AD122/K122)*T122</f>
        <v/>
      </c>
      <c r="AF122" s="10">
        <f>F122*AE122</f>
        <v/>
      </c>
      <c r="AG122" s="10">
        <f>I122*AE122</f>
        <v/>
      </c>
      <c r="AH122" s="10">
        <f>W122*AE122</f>
        <v/>
      </c>
      <c r="AI122" s="10">
        <f>X122*AE122</f>
        <v/>
      </c>
      <c r="AJ122" s="10">
        <f>Y122*AE122</f>
        <v/>
      </c>
      <c r="AK122" s="9">
        <f>IF(AND(T122=1,AD122&gt;0),1,0)</f>
        <v/>
      </c>
      <c r="AL122" s="10">
        <f>Z122*AK122</f>
        <v/>
      </c>
      <c r="AM122" s="10">
        <f>AA122*AK122</f>
        <v/>
      </c>
      <c r="AN122" s="9">
        <f>AD122*T122</f>
        <v/>
      </c>
      <c r="AO122" s="9">
        <f>S122*AK122</f>
        <v/>
      </c>
    </row>
    <row r="123">
      <c r="A123" s="9">
        <f>raw_reservations!A123</f>
        <v/>
      </c>
      <c r="B123" s="9">
        <f>raw_reservations!B123</f>
        <v/>
      </c>
      <c r="C123" s="24">
        <f>raw_reservations!C123</f>
        <v/>
      </c>
      <c r="D123" s="24">
        <f>raw_reservations!D123</f>
        <v/>
      </c>
      <c r="E123" s="9">
        <f>raw_reservations!E123</f>
        <v/>
      </c>
      <c r="F123" s="10">
        <f>raw_reservations!F123</f>
        <v/>
      </c>
      <c r="G123" s="9">
        <f>raw_reservations!G123</f>
        <v/>
      </c>
      <c r="H123" s="10">
        <f>raw_reservations!H123</f>
        <v/>
      </c>
      <c r="I123" s="10">
        <f>raw_reservations!I123</f>
        <v/>
      </c>
      <c r="J123" s="9">
        <f>raw_reservations!J123</f>
        <v/>
      </c>
      <c r="K123" s="9">
        <f>D123-C123</f>
        <v/>
      </c>
      <c r="L123" s="9">
        <f>IF(COUNTIF(A$2:A123,A123)&gt;1,1,0)</f>
        <v/>
      </c>
      <c r="M123" s="9">
        <f>IF(COUNTIF(properties!$A$2:$A$21,B123)=0,1,0)</f>
        <v/>
      </c>
      <c r="N123" s="9">
        <f>IF(M123=1,0,IF(G123&lt;&gt;INDEX(properties!$E$2:$E$21,MATCH(B123,properties!$A$2:$A$21,0)),1,0))</f>
        <v/>
      </c>
      <c r="O123" s="9">
        <f>IF(OR(I123&gt;F123,AND(E123&lt;&gt;"cancelled",I123&gt;0)),1,0)</f>
        <v/>
      </c>
      <c r="P123" s="9">
        <f>IF(H123&lt;0,1,0)</f>
        <v/>
      </c>
      <c r="Q123" s="9">
        <f>IF(L123+M123+N123+O123=0,1,0)</f>
        <v/>
      </c>
      <c r="R123" s="9">
        <f>IF(AND(Q123=1,E123&lt;&gt;"cancelled"),COUNTIFS($B$2:$B$152,B123,$Q$2:$Q$152,1,$E$2:$E$152,"&lt;&gt;cancelled",$C$2:$C$152,"&lt;"&amp;D123,$D$2:$D$152,"&gt;"&amp;C123)-1,0)</f>
        <v/>
      </c>
      <c r="S123" s="9">
        <f>IF(AND(Q123=1,OR(R123&gt;0,P123=1)),1,0)</f>
        <v/>
      </c>
      <c r="T123" s="9">
        <f>IF(Q123=0,0,IF(AND(S123=1,Dashboard!$C$7="Нет"),0,1))</f>
        <v/>
      </c>
      <c r="U123" s="9">
        <f>IF(L123=1,"Исключено: дубль",IF(M123=1,"Исключено: нет объекта",IF(N123=1,"Исключено: валюта",IF(O123=1,"Исключено: возврат/статус",IF(S123=1,"На проверке","OK")))))</f>
        <v/>
      </c>
      <c r="V123" s="25">
        <f>SUMIFS(commission_rules!$D$2:$D$21,commission_rules!$A$2:$A$21,B123,commission_rules!$B$2:$B$21,"&lt;="&amp;C123,commission_rules!$C$2:$C$21,"&gt;="&amp;C123)</f>
        <v/>
      </c>
      <c r="W123" s="10">
        <f>F123-I123</f>
        <v/>
      </c>
      <c r="X123" s="10">
        <f>IF(F123=0,0,H123*W123/F123)</f>
        <v/>
      </c>
      <c r="Y123" s="10">
        <f>V123*W123</f>
        <v/>
      </c>
      <c r="Z123" s="10">
        <f>W123-X123</f>
        <v/>
      </c>
      <c r="AA123" s="10">
        <f>SUMIFS(calc_payments!$N$2:$N$77,calc_payments!$B$2:$B$77,A123)</f>
        <v/>
      </c>
      <c r="AB123" s="10">
        <f>AA123-Z123</f>
        <v/>
      </c>
      <c r="AC123" s="9">
        <f>IF(T123=0,"",IF(AA123=0,IF(Z123=0,"нечего получать","нет платежа"),IF(ABS(AB123)&lt;1,"сходится","расхождение")))</f>
        <v/>
      </c>
      <c r="AD123" s="9">
        <f>MAX(0,MIN(D123,Dashboard!$C$6+1)-MAX(C123,Dashboard!$C$5))</f>
        <v/>
      </c>
      <c r="AE123" s="26">
        <f>IF(K123=0,0,AD123/K123)*T123</f>
        <v/>
      </c>
      <c r="AF123" s="10">
        <f>F123*AE123</f>
        <v/>
      </c>
      <c r="AG123" s="10">
        <f>I123*AE123</f>
        <v/>
      </c>
      <c r="AH123" s="10">
        <f>W123*AE123</f>
        <v/>
      </c>
      <c r="AI123" s="10">
        <f>X123*AE123</f>
        <v/>
      </c>
      <c r="AJ123" s="10">
        <f>Y123*AE123</f>
        <v/>
      </c>
      <c r="AK123" s="9">
        <f>IF(AND(T123=1,AD123&gt;0),1,0)</f>
        <v/>
      </c>
      <c r="AL123" s="10">
        <f>Z123*AK123</f>
        <v/>
      </c>
      <c r="AM123" s="10">
        <f>AA123*AK123</f>
        <v/>
      </c>
      <c r="AN123" s="9">
        <f>AD123*T123</f>
        <v/>
      </c>
      <c r="AO123" s="9">
        <f>S123*AK123</f>
        <v/>
      </c>
    </row>
    <row r="124">
      <c r="A124" s="9">
        <f>raw_reservations!A124</f>
        <v/>
      </c>
      <c r="B124" s="9">
        <f>raw_reservations!B124</f>
        <v/>
      </c>
      <c r="C124" s="24">
        <f>raw_reservations!C124</f>
        <v/>
      </c>
      <c r="D124" s="24">
        <f>raw_reservations!D124</f>
        <v/>
      </c>
      <c r="E124" s="9">
        <f>raw_reservations!E124</f>
        <v/>
      </c>
      <c r="F124" s="10">
        <f>raw_reservations!F124</f>
        <v/>
      </c>
      <c r="G124" s="9">
        <f>raw_reservations!G124</f>
        <v/>
      </c>
      <c r="H124" s="10">
        <f>raw_reservations!H124</f>
        <v/>
      </c>
      <c r="I124" s="10">
        <f>raw_reservations!I124</f>
        <v/>
      </c>
      <c r="J124" s="9">
        <f>raw_reservations!J124</f>
        <v/>
      </c>
      <c r="K124" s="9">
        <f>D124-C124</f>
        <v/>
      </c>
      <c r="L124" s="9">
        <f>IF(COUNTIF(A$2:A124,A124)&gt;1,1,0)</f>
        <v/>
      </c>
      <c r="M124" s="9">
        <f>IF(COUNTIF(properties!$A$2:$A$21,B124)=0,1,0)</f>
        <v/>
      </c>
      <c r="N124" s="9">
        <f>IF(M124=1,0,IF(G124&lt;&gt;INDEX(properties!$E$2:$E$21,MATCH(B124,properties!$A$2:$A$21,0)),1,0))</f>
        <v/>
      </c>
      <c r="O124" s="9">
        <f>IF(OR(I124&gt;F124,AND(E124&lt;&gt;"cancelled",I124&gt;0)),1,0)</f>
        <v/>
      </c>
      <c r="P124" s="9">
        <f>IF(H124&lt;0,1,0)</f>
        <v/>
      </c>
      <c r="Q124" s="9">
        <f>IF(L124+M124+N124+O124=0,1,0)</f>
        <v/>
      </c>
      <c r="R124" s="9">
        <f>IF(AND(Q124=1,E124&lt;&gt;"cancelled"),COUNTIFS($B$2:$B$152,B124,$Q$2:$Q$152,1,$E$2:$E$152,"&lt;&gt;cancelled",$C$2:$C$152,"&lt;"&amp;D124,$D$2:$D$152,"&gt;"&amp;C124)-1,0)</f>
        <v/>
      </c>
      <c r="S124" s="9">
        <f>IF(AND(Q124=1,OR(R124&gt;0,P124=1)),1,0)</f>
        <v/>
      </c>
      <c r="T124" s="9">
        <f>IF(Q124=0,0,IF(AND(S124=1,Dashboard!$C$7="Нет"),0,1))</f>
        <v/>
      </c>
      <c r="U124" s="9">
        <f>IF(L124=1,"Исключено: дубль",IF(M124=1,"Исключено: нет объекта",IF(N124=1,"Исключено: валюта",IF(O124=1,"Исключено: возврат/статус",IF(S124=1,"На проверке","OK")))))</f>
        <v/>
      </c>
      <c r="V124" s="25">
        <f>SUMIFS(commission_rules!$D$2:$D$21,commission_rules!$A$2:$A$21,B124,commission_rules!$B$2:$B$21,"&lt;="&amp;C124,commission_rules!$C$2:$C$21,"&gt;="&amp;C124)</f>
        <v/>
      </c>
      <c r="W124" s="10">
        <f>F124-I124</f>
        <v/>
      </c>
      <c r="X124" s="10">
        <f>IF(F124=0,0,H124*W124/F124)</f>
        <v/>
      </c>
      <c r="Y124" s="10">
        <f>V124*W124</f>
        <v/>
      </c>
      <c r="Z124" s="10">
        <f>W124-X124</f>
        <v/>
      </c>
      <c r="AA124" s="10">
        <f>SUMIFS(calc_payments!$N$2:$N$77,calc_payments!$B$2:$B$77,A124)</f>
        <v/>
      </c>
      <c r="AB124" s="10">
        <f>AA124-Z124</f>
        <v/>
      </c>
      <c r="AC124" s="9">
        <f>IF(T124=0,"",IF(AA124=0,IF(Z124=0,"нечего получать","нет платежа"),IF(ABS(AB124)&lt;1,"сходится","расхождение")))</f>
        <v/>
      </c>
      <c r="AD124" s="9">
        <f>MAX(0,MIN(D124,Dashboard!$C$6+1)-MAX(C124,Dashboard!$C$5))</f>
        <v/>
      </c>
      <c r="AE124" s="26">
        <f>IF(K124=0,0,AD124/K124)*T124</f>
        <v/>
      </c>
      <c r="AF124" s="10">
        <f>F124*AE124</f>
        <v/>
      </c>
      <c r="AG124" s="10">
        <f>I124*AE124</f>
        <v/>
      </c>
      <c r="AH124" s="10">
        <f>W124*AE124</f>
        <v/>
      </c>
      <c r="AI124" s="10">
        <f>X124*AE124</f>
        <v/>
      </c>
      <c r="AJ124" s="10">
        <f>Y124*AE124</f>
        <v/>
      </c>
      <c r="AK124" s="9">
        <f>IF(AND(T124=1,AD124&gt;0),1,0)</f>
        <v/>
      </c>
      <c r="AL124" s="10">
        <f>Z124*AK124</f>
        <v/>
      </c>
      <c r="AM124" s="10">
        <f>AA124*AK124</f>
        <v/>
      </c>
      <c r="AN124" s="9">
        <f>AD124*T124</f>
        <v/>
      </c>
      <c r="AO124" s="9">
        <f>S124*AK124</f>
        <v/>
      </c>
    </row>
    <row r="125">
      <c r="A125" s="9">
        <f>raw_reservations!A125</f>
        <v/>
      </c>
      <c r="B125" s="9">
        <f>raw_reservations!B125</f>
        <v/>
      </c>
      <c r="C125" s="24">
        <f>raw_reservations!C125</f>
        <v/>
      </c>
      <c r="D125" s="24">
        <f>raw_reservations!D125</f>
        <v/>
      </c>
      <c r="E125" s="9">
        <f>raw_reservations!E125</f>
        <v/>
      </c>
      <c r="F125" s="10">
        <f>raw_reservations!F125</f>
        <v/>
      </c>
      <c r="G125" s="9">
        <f>raw_reservations!G125</f>
        <v/>
      </c>
      <c r="H125" s="10">
        <f>raw_reservations!H125</f>
        <v/>
      </c>
      <c r="I125" s="10">
        <f>raw_reservations!I125</f>
        <v/>
      </c>
      <c r="J125" s="9">
        <f>raw_reservations!J125</f>
        <v/>
      </c>
      <c r="K125" s="9">
        <f>D125-C125</f>
        <v/>
      </c>
      <c r="L125" s="9">
        <f>IF(COUNTIF(A$2:A125,A125)&gt;1,1,0)</f>
        <v/>
      </c>
      <c r="M125" s="9">
        <f>IF(COUNTIF(properties!$A$2:$A$21,B125)=0,1,0)</f>
        <v/>
      </c>
      <c r="N125" s="9">
        <f>IF(M125=1,0,IF(G125&lt;&gt;INDEX(properties!$E$2:$E$21,MATCH(B125,properties!$A$2:$A$21,0)),1,0))</f>
        <v/>
      </c>
      <c r="O125" s="9">
        <f>IF(OR(I125&gt;F125,AND(E125&lt;&gt;"cancelled",I125&gt;0)),1,0)</f>
        <v/>
      </c>
      <c r="P125" s="9">
        <f>IF(H125&lt;0,1,0)</f>
        <v/>
      </c>
      <c r="Q125" s="9">
        <f>IF(L125+M125+N125+O125=0,1,0)</f>
        <v/>
      </c>
      <c r="R125" s="9">
        <f>IF(AND(Q125=1,E125&lt;&gt;"cancelled"),COUNTIFS($B$2:$B$152,B125,$Q$2:$Q$152,1,$E$2:$E$152,"&lt;&gt;cancelled",$C$2:$C$152,"&lt;"&amp;D125,$D$2:$D$152,"&gt;"&amp;C125)-1,0)</f>
        <v/>
      </c>
      <c r="S125" s="9">
        <f>IF(AND(Q125=1,OR(R125&gt;0,P125=1)),1,0)</f>
        <v/>
      </c>
      <c r="T125" s="9">
        <f>IF(Q125=0,0,IF(AND(S125=1,Dashboard!$C$7="Нет"),0,1))</f>
        <v/>
      </c>
      <c r="U125" s="9">
        <f>IF(L125=1,"Исключено: дубль",IF(M125=1,"Исключено: нет объекта",IF(N125=1,"Исключено: валюта",IF(O125=1,"Исключено: возврат/статус",IF(S125=1,"На проверке","OK")))))</f>
        <v/>
      </c>
      <c r="V125" s="25">
        <f>SUMIFS(commission_rules!$D$2:$D$21,commission_rules!$A$2:$A$21,B125,commission_rules!$B$2:$B$21,"&lt;="&amp;C125,commission_rules!$C$2:$C$21,"&gt;="&amp;C125)</f>
        <v/>
      </c>
      <c r="W125" s="10">
        <f>F125-I125</f>
        <v/>
      </c>
      <c r="X125" s="10">
        <f>IF(F125=0,0,H125*W125/F125)</f>
        <v/>
      </c>
      <c r="Y125" s="10">
        <f>V125*W125</f>
        <v/>
      </c>
      <c r="Z125" s="10">
        <f>W125-X125</f>
        <v/>
      </c>
      <c r="AA125" s="10">
        <f>SUMIFS(calc_payments!$N$2:$N$77,calc_payments!$B$2:$B$77,A125)</f>
        <v/>
      </c>
      <c r="AB125" s="10">
        <f>AA125-Z125</f>
        <v/>
      </c>
      <c r="AC125" s="9">
        <f>IF(T125=0,"",IF(AA125=0,IF(Z125=0,"нечего получать","нет платежа"),IF(ABS(AB125)&lt;1,"сходится","расхождение")))</f>
        <v/>
      </c>
      <c r="AD125" s="9">
        <f>MAX(0,MIN(D125,Dashboard!$C$6+1)-MAX(C125,Dashboard!$C$5))</f>
        <v/>
      </c>
      <c r="AE125" s="26">
        <f>IF(K125=0,0,AD125/K125)*T125</f>
        <v/>
      </c>
      <c r="AF125" s="10">
        <f>F125*AE125</f>
        <v/>
      </c>
      <c r="AG125" s="10">
        <f>I125*AE125</f>
        <v/>
      </c>
      <c r="AH125" s="10">
        <f>W125*AE125</f>
        <v/>
      </c>
      <c r="AI125" s="10">
        <f>X125*AE125</f>
        <v/>
      </c>
      <c r="AJ125" s="10">
        <f>Y125*AE125</f>
        <v/>
      </c>
      <c r="AK125" s="9">
        <f>IF(AND(T125=1,AD125&gt;0),1,0)</f>
        <v/>
      </c>
      <c r="AL125" s="10">
        <f>Z125*AK125</f>
        <v/>
      </c>
      <c r="AM125" s="10">
        <f>AA125*AK125</f>
        <v/>
      </c>
      <c r="AN125" s="9">
        <f>AD125*T125</f>
        <v/>
      </c>
      <c r="AO125" s="9">
        <f>S125*AK125</f>
        <v/>
      </c>
    </row>
    <row r="126">
      <c r="A126" s="9">
        <f>raw_reservations!A126</f>
        <v/>
      </c>
      <c r="B126" s="9">
        <f>raw_reservations!B126</f>
        <v/>
      </c>
      <c r="C126" s="24">
        <f>raw_reservations!C126</f>
        <v/>
      </c>
      <c r="D126" s="24">
        <f>raw_reservations!D126</f>
        <v/>
      </c>
      <c r="E126" s="9">
        <f>raw_reservations!E126</f>
        <v/>
      </c>
      <c r="F126" s="10">
        <f>raw_reservations!F126</f>
        <v/>
      </c>
      <c r="G126" s="9">
        <f>raw_reservations!G126</f>
        <v/>
      </c>
      <c r="H126" s="10">
        <f>raw_reservations!H126</f>
        <v/>
      </c>
      <c r="I126" s="10">
        <f>raw_reservations!I126</f>
        <v/>
      </c>
      <c r="J126" s="9">
        <f>raw_reservations!J126</f>
        <v/>
      </c>
      <c r="K126" s="9">
        <f>D126-C126</f>
        <v/>
      </c>
      <c r="L126" s="9">
        <f>IF(COUNTIF(A$2:A126,A126)&gt;1,1,0)</f>
        <v/>
      </c>
      <c r="M126" s="9">
        <f>IF(COUNTIF(properties!$A$2:$A$21,B126)=0,1,0)</f>
        <v/>
      </c>
      <c r="N126" s="9">
        <f>IF(M126=1,0,IF(G126&lt;&gt;INDEX(properties!$E$2:$E$21,MATCH(B126,properties!$A$2:$A$21,0)),1,0))</f>
        <v/>
      </c>
      <c r="O126" s="9">
        <f>IF(OR(I126&gt;F126,AND(E126&lt;&gt;"cancelled",I126&gt;0)),1,0)</f>
        <v/>
      </c>
      <c r="P126" s="9">
        <f>IF(H126&lt;0,1,0)</f>
        <v/>
      </c>
      <c r="Q126" s="9">
        <f>IF(L126+M126+N126+O126=0,1,0)</f>
        <v/>
      </c>
      <c r="R126" s="9">
        <f>IF(AND(Q126=1,E126&lt;&gt;"cancelled"),COUNTIFS($B$2:$B$152,B126,$Q$2:$Q$152,1,$E$2:$E$152,"&lt;&gt;cancelled",$C$2:$C$152,"&lt;"&amp;D126,$D$2:$D$152,"&gt;"&amp;C126)-1,0)</f>
        <v/>
      </c>
      <c r="S126" s="9">
        <f>IF(AND(Q126=1,OR(R126&gt;0,P126=1)),1,0)</f>
        <v/>
      </c>
      <c r="T126" s="9">
        <f>IF(Q126=0,0,IF(AND(S126=1,Dashboard!$C$7="Нет"),0,1))</f>
        <v/>
      </c>
      <c r="U126" s="9">
        <f>IF(L126=1,"Исключено: дубль",IF(M126=1,"Исключено: нет объекта",IF(N126=1,"Исключено: валюта",IF(O126=1,"Исключено: возврат/статус",IF(S126=1,"На проверке","OK")))))</f>
        <v/>
      </c>
      <c r="V126" s="25">
        <f>SUMIFS(commission_rules!$D$2:$D$21,commission_rules!$A$2:$A$21,B126,commission_rules!$B$2:$B$21,"&lt;="&amp;C126,commission_rules!$C$2:$C$21,"&gt;="&amp;C126)</f>
        <v/>
      </c>
      <c r="W126" s="10">
        <f>F126-I126</f>
        <v/>
      </c>
      <c r="X126" s="10">
        <f>IF(F126=0,0,H126*W126/F126)</f>
        <v/>
      </c>
      <c r="Y126" s="10">
        <f>V126*W126</f>
        <v/>
      </c>
      <c r="Z126" s="10">
        <f>W126-X126</f>
        <v/>
      </c>
      <c r="AA126" s="10">
        <f>SUMIFS(calc_payments!$N$2:$N$77,calc_payments!$B$2:$B$77,A126)</f>
        <v/>
      </c>
      <c r="AB126" s="10">
        <f>AA126-Z126</f>
        <v/>
      </c>
      <c r="AC126" s="9">
        <f>IF(T126=0,"",IF(AA126=0,IF(Z126=0,"нечего получать","нет платежа"),IF(ABS(AB126)&lt;1,"сходится","расхождение")))</f>
        <v/>
      </c>
      <c r="AD126" s="9">
        <f>MAX(0,MIN(D126,Dashboard!$C$6+1)-MAX(C126,Dashboard!$C$5))</f>
        <v/>
      </c>
      <c r="AE126" s="26">
        <f>IF(K126=0,0,AD126/K126)*T126</f>
        <v/>
      </c>
      <c r="AF126" s="10">
        <f>F126*AE126</f>
        <v/>
      </c>
      <c r="AG126" s="10">
        <f>I126*AE126</f>
        <v/>
      </c>
      <c r="AH126" s="10">
        <f>W126*AE126</f>
        <v/>
      </c>
      <c r="AI126" s="10">
        <f>X126*AE126</f>
        <v/>
      </c>
      <c r="AJ126" s="10">
        <f>Y126*AE126</f>
        <v/>
      </c>
      <c r="AK126" s="9">
        <f>IF(AND(T126=1,AD126&gt;0),1,0)</f>
        <v/>
      </c>
      <c r="AL126" s="10">
        <f>Z126*AK126</f>
        <v/>
      </c>
      <c r="AM126" s="10">
        <f>AA126*AK126</f>
        <v/>
      </c>
      <c r="AN126" s="9">
        <f>AD126*T126</f>
        <v/>
      </c>
      <c r="AO126" s="9">
        <f>S126*AK126</f>
        <v/>
      </c>
    </row>
    <row r="127">
      <c r="A127" s="9">
        <f>raw_reservations!A127</f>
        <v/>
      </c>
      <c r="B127" s="9">
        <f>raw_reservations!B127</f>
        <v/>
      </c>
      <c r="C127" s="24">
        <f>raw_reservations!C127</f>
        <v/>
      </c>
      <c r="D127" s="24">
        <f>raw_reservations!D127</f>
        <v/>
      </c>
      <c r="E127" s="9">
        <f>raw_reservations!E127</f>
        <v/>
      </c>
      <c r="F127" s="10">
        <f>raw_reservations!F127</f>
        <v/>
      </c>
      <c r="G127" s="9">
        <f>raw_reservations!G127</f>
        <v/>
      </c>
      <c r="H127" s="10">
        <f>raw_reservations!H127</f>
        <v/>
      </c>
      <c r="I127" s="10">
        <f>raw_reservations!I127</f>
        <v/>
      </c>
      <c r="J127" s="9">
        <f>raw_reservations!J127</f>
        <v/>
      </c>
      <c r="K127" s="9">
        <f>D127-C127</f>
        <v/>
      </c>
      <c r="L127" s="9">
        <f>IF(COUNTIF(A$2:A127,A127)&gt;1,1,0)</f>
        <v/>
      </c>
      <c r="M127" s="9">
        <f>IF(COUNTIF(properties!$A$2:$A$21,B127)=0,1,0)</f>
        <v/>
      </c>
      <c r="N127" s="9">
        <f>IF(M127=1,0,IF(G127&lt;&gt;INDEX(properties!$E$2:$E$21,MATCH(B127,properties!$A$2:$A$21,0)),1,0))</f>
        <v/>
      </c>
      <c r="O127" s="9">
        <f>IF(OR(I127&gt;F127,AND(E127&lt;&gt;"cancelled",I127&gt;0)),1,0)</f>
        <v/>
      </c>
      <c r="P127" s="9">
        <f>IF(H127&lt;0,1,0)</f>
        <v/>
      </c>
      <c r="Q127" s="9">
        <f>IF(L127+M127+N127+O127=0,1,0)</f>
        <v/>
      </c>
      <c r="R127" s="9">
        <f>IF(AND(Q127=1,E127&lt;&gt;"cancelled"),COUNTIFS($B$2:$B$152,B127,$Q$2:$Q$152,1,$E$2:$E$152,"&lt;&gt;cancelled",$C$2:$C$152,"&lt;"&amp;D127,$D$2:$D$152,"&gt;"&amp;C127)-1,0)</f>
        <v/>
      </c>
      <c r="S127" s="9">
        <f>IF(AND(Q127=1,OR(R127&gt;0,P127=1)),1,0)</f>
        <v/>
      </c>
      <c r="T127" s="9">
        <f>IF(Q127=0,0,IF(AND(S127=1,Dashboard!$C$7="Нет"),0,1))</f>
        <v/>
      </c>
      <c r="U127" s="9">
        <f>IF(L127=1,"Исключено: дубль",IF(M127=1,"Исключено: нет объекта",IF(N127=1,"Исключено: валюта",IF(O127=1,"Исключено: возврат/статус",IF(S127=1,"На проверке","OK")))))</f>
        <v/>
      </c>
      <c r="V127" s="25">
        <f>SUMIFS(commission_rules!$D$2:$D$21,commission_rules!$A$2:$A$21,B127,commission_rules!$B$2:$B$21,"&lt;="&amp;C127,commission_rules!$C$2:$C$21,"&gt;="&amp;C127)</f>
        <v/>
      </c>
      <c r="W127" s="10">
        <f>F127-I127</f>
        <v/>
      </c>
      <c r="X127" s="10">
        <f>IF(F127=0,0,H127*W127/F127)</f>
        <v/>
      </c>
      <c r="Y127" s="10">
        <f>V127*W127</f>
        <v/>
      </c>
      <c r="Z127" s="10">
        <f>W127-X127</f>
        <v/>
      </c>
      <c r="AA127" s="10">
        <f>SUMIFS(calc_payments!$N$2:$N$77,calc_payments!$B$2:$B$77,A127)</f>
        <v/>
      </c>
      <c r="AB127" s="10">
        <f>AA127-Z127</f>
        <v/>
      </c>
      <c r="AC127" s="9">
        <f>IF(T127=0,"",IF(AA127=0,IF(Z127=0,"нечего получать","нет платежа"),IF(ABS(AB127)&lt;1,"сходится","расхождение")))</f>
        <v/>
      </c>
      <c r="AD127" s="9">
        <f>MAX(0,MIN(D127,Dashboard!$C$6+1)-MAX(C127,Dashboard!$C$5))</f>
        <v/>
      </c>
      <c r="AE127" s="26">
        <f>IF(K127=0,0,AD127/K127)*T127</f>
        <v/>
      </c>
      <c r="AF127" s="10">
        <f>F127*AE127</f>
        <v/>
      </c>
      <c r="AG127" s="10">
        <f>I127*AE127</f>
        <v/>
      </c>
      <c r="AH127" s="10">
        <f>W127*AE127</f>
        <v/>
      </c>
      <c r="AI127" s="10">
        <f>X127*AE127</f>
        <v/>
      </c>
      <c r="AJ127" s="10">
        <f>Y127*AE127</f>
        <v/>
      </c>
      <c r="AK127" s="9">
        <f>IF(AND(T127=1,AD127&gt;0),1,0)</f>
        <v/>
      </c>
      <c r="AL127" s="10">
        <f>Z127*AK127</f>
        <v/>
      </c>
      <c r="AM127" s="10">
        <f>AA127*AK127</f>
        <v/>
      </c>
      <c r="AN127" s="9">
        <f>AD127*T127</f>
        <v/>
      </c>
      <c r="AO127" s="9">
        <f>S127*AK127</f>
        <v/>
      </c>
    </row>
    <row r="128">
      <c r="A128" s="9">
        <f>raw_reservations!A128</f>
        <v/>
      </c>
      <c r="B128" s="9">
        <f>raw_reservations!B128</f>
        <v/>
      </c>
      <c r="C128" s="24">
        <f>raw_reservations!C128</f>
        <v/>
      </c>
      <c r="D128" s="24">
        <f>raw_reservations!D128</f>
        <v/>
      </c>
      <c r="E128" s="9">
        <f>raw_reservations!E128</f>
        <v/>
      </c>
      <c r="F128" s="10">
        <f>raw_reservations!F128</f>
        <v/>
      </c>
      <c r="G128" s="9">
        <f>raw_reservations!G128</f>
        <v/>
      </c>
      <c r="H128" s="10">
        <f>raw_reservations!H128</f>
        <v/>
      </c>
      <c r="I128" s="10">
        <f>raw_reservations!I128</f>
        <v/>
      </c>
      <c r="J128" s="9">
        <f>raw_reservations!J128</f>
        <v/>
      </c>
      <c r="K128" s="9">
        <f>D128-C128</f>
        <v/>
      </c>
      <c r="L128" s="9">
        <f>IF(COUNTIF(A$2:A128,A128)&gt;1,1,0)</f>
        <v/>
      </c>
      <c r="M128" s="9">
        <f>IF(COUNTIF(properties!$A$2:$A$21,B128)=0,1,0)</f>
        <v/>
      </c>
      <c r="N128" s="9">
        <f>IF(M128=1,0,IF(G128&lt;&gt;INDEX(properties!$E$2:$E$21,MATCH(B128,properties!$A$2:$A$21,0)),1,0))</f>
        <v/>
      </c>
      <c r="O128" s="9">
        <f>IF(OR(I128&gt;F128,AND(E128&lt;&gt;"cancelled",I128&gt;0)),1,0)</f>
        <v/>
      </c>
      <c r="P128" s="9">
        <f>IF(H128&lt;0,1,0)</f>
        <v/>
      </c>
      <c r="Q128" s="9">
        <f>IF(L128+M128+N128+O128=0,1,0)</f>
        <v/>
      </c>
      <c r="R128" s="9">
        <f>IF(AND(Q128=1,E128&lt;&gt;"cancelled"),COUNTIFS($B$2:$B$152,B128,$Q$2:$Q$152,1,$E$2:$E$152,"&lt;&gt;cancelled",$C$2:$C$152,"&lt;"&amp;D128,$D$2:$D$152,"&gt;"&amp;C128)-1,0)</f>
        <v/>
      </c>
      <c r="S128" s="9">
        <f>IF(AND(Q128=1,OR(R128&gt;0,P128=1)),1,0)</f>
        <v/>
      </c>
      <c r="T128" s="9">
        <f>IF(Q128=0,0,IF(AND(S128=1,Dashboard!$C$7="Нет"),0,1))</f>
        <v/>
      </c>
      <c r="U128" s="9">
        <f>IF(L128=1,"Исключено: дубль",IF(M128=1,"Исключено: нет объекта",IF(N128=1,"Исключено: валюта",IF(O128=1,"Исключено: возврат/статус",IF(S128=1,"На проверке","OK")))))</f>
        <v/>
      </c>
      <c r="V128" s="25">
        <f>SUMIFS(commission_rules!$D$2:$D$21,commission_rules!$A$2:$A$21,B128,commission_rules!$B$2:$B$21,"&lt;="&amp;C128,commission_rules!$C$2:$C$21,"&gt;="&amp;C128)</f>
        <v/>
      </c>
      <c r="W128" s="10">
        <f>F128-I128</f>
        <v/>
      </c>
      <c r="X128" s="10">
        <f>IF(F128=0,0,H128*W128/F128)</f>
        <v/>
      </c>
      <c r="Y128" s="10">
        <f>V128*W128</f>
        <v/>
      </c>
      <c r="Z128" s="10">
        <f>W128-X128</f>
        <v/>
      </c>
      <c r="AA128" s="10">
        <f>SUMIFS(calc_payments!$N$2:$N$77,calc_payments!$B$2:$B$77,A128)</f>
        <v/>
      </c>
      <c r="AB128" s="10">
        <f>AA128-Z128</f>
        <v/>
      </c>
      <c r="AC128" s="9">
        <f>IF(T128=0,"",IF(AA128=0,IF(Z128=0,"нечего получать","нет платежа"),IF(ABS(AB128)&lt;1,"сходится","расхождение")))</f>
        <v/>
      </c>
      <c r="AD128" s="9">
        <f>MAX(0,MIN(D128,Dashboard!$C$6+1)-MAX(C128,Dashboard!$C$5))</f>
        <v/>
      </c>
      <c r="AE128" s="26">
        <f>IF(K128=0,0,AD128/K128)*T128</f>
        <v/>
      </c>
      <c r="AF128" s="10">
        <f>F128*AE128</f>
        <v/>
      </c>
      <c r="AG128" s="10">
        <f>I128*AE128</f>
        <v/>
      </c>
      <c r="AH128" s="10">
        <f>W128*AE128</f>
        <v/>
      </c>
      <c r="AI128" s="10">
        <f>X128*AE128</f>
        <v/>
      </c>
      <c r="AJ128" s="10">
        <f>Y128*AE128</f>
        <v/>
      </c>
      <c r="AK128" s="9">
        <f>IF(AND(T128=1,AD128&gt;0),1,0)</f>
        <v/>
      </c>
      <c r="AL128" s="10">
        <f>Z128*AK128</f>
        <v/>
      </c>
      <c r="AM128" s="10">
        <f>AA128*AK128</f>
        <v/>
      </c>
      <c r="AN128" s="9">
        <f>AD128*T128</f>
        <v/>
      </c>
      <c r="AO128" s="9">
        <f>S128*AK128</f>
        <v/>
      </c>
    </row>
    <row r="129">
      <c r="A129" s="9">
        <f>raw_reservations!A129</f>
        <v/>
      </c>
      <c r="B129" s="9">
        <f>raw_reservations!B129</f>
        <v/>
      </c>
      <c r="C129" s="24">
        <f>raw_reservations!C129</f>
        <v/>
      </c>
      <c r="D129" s="24">
        <f>raw_reservations!D129</f>
        <v/>
      </c>
      <c r="E129" s="9">
        <f>raw_reservations!E129</f>
        <v/>
      </c>
      <c r="F129" s="10">
        <f>raw_reservations!F129</f>
        <v/>
      </c>
      <c r="G129" s="9">
        <f>raw_reservations!G129</f>
        <v/>
      </c>
      <c r="H129" s="10">
        <f>raw_reservations!H129</f>
        <v/>
      </c>
      <c r="I129" s="10">
        <f>raw_reservations!I129</f>
        <v/>
      </c>
      <c r="J129" s="9">
        <f>raw_reservations!J129</f>
        <v/>
      </c>
      <c r="K129" s="9">
        <f>D129-C129</f>
        <v/>
      </c>
      <c r="L129" s="9">
        <f>IF(COUNTIF(A$2:A129,A129)&gt;1,1,0)</f>
        <v/>
      </c>
      <c r="M129" s="9">
        <f>IF(COUNTIF(properties!$A$2:$A$21,B129)=0,1,0)</f>
        <v/>
      </c>
      <c r="N129" s="9">
        <f>IF(M129=1,0,IF(G129&lt;&gt;INDEX(properties!$E$2:$E$21,MATCH(B129,properties!$A$2:$A$21,0)),1,0))</f>
        <v/>
      </c>
      <c r="O129" s="9">
        <f>IF(OR(I129&gt;F129,AND(E129&lt;&gt;"cancelled",I129&gt;0)),1,0)</f>
        <v/>
      </c>
      <c r="P129" s="9">
        <f>IF(H129&lt;0,1,0)</f>
        <v/>
      </c>
      <c r="Q129" s="9">
        <f>IF(L129+M129+N129+O129=0,1,0)</f>
        <v/>
      </c>
      <c r="R129" s="9">
        <f>IF(AND(Q129=1,E129&lt;&gt;"cancelled"),COUNTIFS($B$2:$B$152,B129,$Q$2:$Q$152,1,$E$2:$E$152,"&lt;&gt;cancelled",$C$2:$C$152,"&lt;"&amp;D129,$D$2:$D$152,"&gt;"&amp;C129)-1,0)</f>
        <v/>
      </c>
      <c r="S129" s="9">
        <f>IF(AND(Q129=1,OR(R129&gt;0,P129=1)),1,0)</f>
        <v/>
      </c>
      <c r="T129" s="9">
        <f>IF(Q129=0,0,IF(AND(S129=1,Dashboard!$C$7="Нет"),0,1))</f>
        <v/>
      </c>
      <c r="U129" s="9">
        <f>IF(L129=1,"Исключено: дубль",IF(M129=1,"Исключено: нет объекта",IF(N129=1,"Исключено: валюта",IF(O129=1,"Исключено: возврат/статус",IF(S129=1,"На проверке","OK")))))</f>
        <v/>
      </c>
      <c r="V129" s="25">
        <f>SUMIFS(commission_rules!$D$2:$D$21,commission_rules!$A$2:$A$21,B129,commission_rules!$B$2:$B$21,"&lt;="&amp;C129,commission_rules!$C$2:$C$21,"&gt;="&amp;C129)</f>
        <v/>
      </c>
      <c r="W129" s="10">
        <f>F129-I129</f>
        <v/>
      </c>
      <c r="X129" s="10">
        <f>IF(F129=0,0,H129*W129/F129)</f>
        <v/>
      </c>
      <c r="Y129" s="10">
        <f>V129*W129</f>
        <v/>
      </c>
      <c r="Z129" s="10">
        <f>W129-X129</f>
        <v/>
      </c>
      <c r="AA129" s="10">
        <f>SUMIFS(calc_payments!$N$2:$N$77,calc_payments!$B$2:$B$77,A129)</f>
        <v/>
      </c>
      <c r="AB129" s="10">
        <f>AA129-Z129</f>
        <v/>
      </c>
      <c r="AC129" s="9">
        <f>IF(T129=0,"",IF(AA129=0,IF(Z129=0,"нечего получать","нет платежа"),IF(ABS(AB129)&lt;1,"сходится","расхождение")))</f>
        <v/>
      </c>
      <c r="AD129" s="9">
        <f>MAX(0,MIN(D129,Dashboard!$C$6+1)-MAX(C129,Dashboard!$C$5))</f>
        <v/>
      </c>
      <c r="AE129" s="26">
        <f>IF(K129=0,0,AD129/K129)*T129</f>
        <v/>
      </c>
      <c r="AF129" s="10">
        <f>F129*AE129</f>
        <v/>
      </c>
      <c r="AG129" s="10">
        <f>I129*AE129</f>
        <v/>
      </c>
      <c r="AH129" s="10">
        <f>W129*AE129</f>
        <v/>
      </c>
      <c r="AI129" s="10">
        <f>X129*AE129</f>
        <v/>
      </c>
      <c r="AJ129" s="10">
        <f>Y129*AE129</f>
        <v/>
      </c>
      <c r="AK129" s="9">
        <f>IF(AND(T129=1,AD129&gt;0),1,0)</f>
        <v/>
      </c>
      <c r="AL129" s="10">
        <f>Z129*AK129</f>
        <v/>
      </c>
      <c r="AM129" s="10">
        <f>AA129*AK129</f>
        <v/>
      </c>
      <c r="AN129" s="9">
        <f>AD129*T129</f>
        <v/>
      </c>
      <c r="AO129" s="9">
        <f>S129*AK129</f>
        <v/>
      </c>
    </row>
    <row r="130">
      <c r="A130" s="9">
        <f>raw_reservations!A130</f>
        <v/>
      </c>
      <c r="B130" s="9">
        <f>raw_reservations!B130</f>
        <v/>
      </c>
      <c r="C130" s="24">
        <f>raw_reservations!C130</f>
        <v/>
      </c>
      <c r="D130" s="24">
        <f>raw_reservations!D130</f>
        <v/>
      </c>
      <c r="E130" s="9">
        <f>raw_reservations!E130</f>
        <v/>
      </c>
      <c r="F130" s="10">
        <f>raw_reservations!F130</f>
        <v/>
      </c>
      <c r="G130" s="9">
        <f>raw_reservations!G130</f>
        <v/>
      </c>
      <c r="H130" s="10">
        <f>raw_reservations!H130</f>
        <v/>
      </c>
      <c r="I130" s="10">
        <f>raw_reservations!I130</f>
        <v/>
      </c>
      <c r="J130" s="9">
        <f>raw_reservations!J130</f>
        <v/>
      </c>
      <c r="K130" s="9">
        <f>D130-C130</f>
        <v/>
      </c>
      <c r="L130" s="9">
        <f>IF(COUNTIF(A$2:A130,A130)&gt;1,1,0)</f>
        <v/>
      </c>
      <c r="M130" s="9">
        <f>IF(COUNTIF(properties!$A$2:$A$21,B130)=0,1,0)</f>
        <v/>
      </c>
      <c r="N130" s="9">
        <f>IF(M130=1,0,IF(G130&lt;&gt;INDEX(properties!$E$2:$E$21,MATCH(B130,properties!$A$2:$A$21,0)),1,0))</f>
        <v/>
      </c>
      <c r="O130" s="9">
        <f>IF(OR(I130&gt;F130,AND(E130&lt;&gt;"cancelled",I130&gt;0)),1,0)</f>
        <v/>
      </c>
      <c r="P130" s="9">
        <f>IF(H130&lt;0,1,0)</f>
        <v/>
      </c>
      <c r="Q130" s="9">
        <f>IF(L130+M130+N130+O130=0,1,0)</f>
        <v/>
      </c>
      <c r="R130" s="9">
        <f>IF(AND(Q130=1,E130&lt;&gt;"cancelled"),COUNTIFS($B$2:$B$152,B130,$Q$2:$Q$152,1,$E$2:$E$152,"&lt;&gt;cancelled",$C$2:$C$152,"&lt;"&amp;D130,$D$2:$D$152,"&gt;"&amp;C130)-1,0)</f>
        <v/>
      </c>
      <c r="S130" s="9">
        <f>IF(AND(Q130=1,OR(R130&gt;0,P130=1)),1,0)</f>
        <v/>
      </c>
      <c r="T130" s="9">
        <f>IF(Q130=0,0,IF(AND(S130=1,Dashboard!$C$7="Нет"),0,1))</f>
        <v/>
      </c>
      <c r="U130" s="9">
        <f>IF(L130=1,"Исключено: дубль",IF(M130=1,"Исключено: нет объекта",IF(N130=1,"Исключено: валюта",IF(O130=1,"Исключено: возврат/статус",IF(S130=1,"На проверке","OK")))))</f>
        <v/>
      </c>
      <c r="V130" s="25">
        <f>SUMIFS(commission_rules!$D$2:$D$21,commission_rules!$A$2:$A$21,B130,commission_rules!$B$2:$B$21,"&lt;="&amp;C130,commission_rules!$C$2:$C$21,"&gt;="&amp;C130)</f>
        <v/>
      </c>
      <c r="W130" s="10">
        <f>F130-I130</f>
        <v/>
      </c>
      <c r="X130" s="10">
        <f>IF(F130=0,0,H130*W130/F130)</f>
        <v/>
      </c>
      <c r="Y130" s="10">
        <f>V130*W130</f>
        <v/>
      </c>
      <c r="Z130" s="10">
        <f>W130-X130</f>
        <v/>
      </c>
      <c r="AA130" s="10">
        <f>SUMIFS(calc_payments!$N$2:$N$77,calc_payments!$B$2:$B$77,A130)</f>
        <v/>
      </c>
      <c r="AB130" s="10">
        <f>AA130-Z130</f>
        <v/>
      </c>
      <c r="AC130" s="9">
        <f>IF(T130=0,"",IF(AA130=0,IF(Z130=0,"нечего получать","нет платежа"),IF(ABS(AB130)&lt;1,"сходится","расхождение")))</f>
        <v/>
      </c>
      <c r="AD130" s="9">
        <f>MAX(0,MIN(D130,Dashboard!$C$6+1)-MAX(C130,Dashboard!$C$5))</f>
        <v/>
      </c>
      <c r="AE130" s="26">
        <f>IF(K130=0,0,AD130/K130)*T130</f>
        <v/>
      </c>
      <c r="AF130" s="10">
        <f>F130*AE130</f>
        <v/>
      </c>
      <c r="AG130" s="10">
        <f>I130*AE130</f>
        <v/>
      </c>
      <c r="AH130" s="10">
        <f>W130*AE130</f>
        <v/>
      </c>
      <c r="AI130" s="10">
        <f>X130*AE130</f>
        <v/>
      </c>
      <c r="AJ130" s="10">
        <f>Y130*AE130</f>
        <v/>
      </c>
      <c r="AK130" s="9">
        <f>IF(AND(T130=1,AD130&gt;0),1,0)</f>
        <v/>
      </c>
      <c r="AL130" s="10">
        <f>Z130*AK130</f>
        <v/>
      </c>
      <c r="AM130" s="10">
        <f>AA130*AK130</f>
        <v/>
      </c>
      <c r="AN130" s="9">
        <f>AD130*T130</f>
        <v/>
      </c>
      <c r="AO130" s="9">
        <f>S130*AK130</f>
        <v/>
      </c>
    </row>
    <row r="131">
      <c r="A131" s="9">
        <f>raw_reservations!A131</f>
        <v/>
      </c>
      <c r="B131" s="9">
        <f>raw_reservations!B131</f>
        <v/>
      </c>
      <c r="C131" s="24">
        <f>raw_reservations!C131</f>
        <v/>
      </c>
      <c r="D131" s="24">
        <f>raw_reservations!D131</f>
        <v/>
      </c>
      <c r="E131" s="9">
        <f>raw_reservations!E131</f>
        <v/>
      </c>
      <c r="F131" s="10">
        <f>raw_reservations!F131</f>
        <v/>
      </c>
      <c r="G131" s="9">
        <f>raw_reservations!G131</f>
        <v/>
      </c>
      <c r="H131" s="10">
        <f>raw_reservations!H131</f>
        <v/>
      </c>
      <c r="I131" s="10">
        <f>raw_reservations!I131</f>
        <v/>
      </c>
      <c r="J131" s="9">
        <f>raw_reservations!J131</f>
        <v/>
      </c>
      <c r="K131" s="9">
        <f>D131-C131</f>
        <v/>
      </c>
      <c r="L131" s="9">
        <f>IF(COUNTIF(A$2:A131,A131)&gt;1,1,0)</f>
        <v/>
      </c>
      <c r="M131" s="9">
        <f>IF(COUNTIF(properties!$A$2:$A$21,B131)=0,1,0)</f>
        <v/>
      </c>
      <c r="N131" s="9">
        <f>IF(M131=1,0,IF(G131&lt;&gt;INDEX(properties!$E$2:$E$21,MATCH(B131,properties!$A$2:$A$21,0)),1,0))</f>
        <v/>
      </c>
      <c r="O131" s="9">
        <f>IF(OR(I131&gt;F131,AND(E131&lt;&gt;"cancelled",I131&gt;0)),1,0)</f>
        <v/>
      </c>
      <c r="P131" s="9">
        <f>IF(H131&lt;0,1,0)</f>
        <v/>
      </c>
      <c r="Q131" s="9">
        <f>IF(L131+M131+N131+O131=0,1,0)</f>
        <v/>
      </c>
      <c r="R131" s="9">
        <f>IF(AND(Q131=1,E131&lt;&gt;"cancelled"),COUNTIFS($B$2:$B$152,B131,$Q$2:$Q$152,1,$E$2:$E$152,"&lt;&gt;cancelled",$C$2:$C$152,"&lt;"&amp;D131,$D$2:$D$152,"&gt;"&amp;C131)-1,0)</f>
        <v/>
      </c>
      <c r="S131" s="9">
        <f>IF(AND(Q131=1,OR(R131&gt;0,P131=1)),1,0)</f>
        <v/>
      </c>
      <c r="T131" s="9">
        <f>IF(Q131=0,0,IF(AND(S131=1,Dashboard!$C$7="Нет"),0,1))</f>
        <v/>
      </c>
      <c r="U131" s="9">
        <f>IF(L131=1,"Исключено: дубль",IF(M131=1,"Исключено: нет объекта",IF(N131=1,"Исключено: валюта",IF(O131=1,"Исключено: возврат/статус",IF(S131=1,"На проверке","OK")))))</f>
        <v/>
      </c>
      <c r="V131" s="25">
        <f>SUMIFS(commission_rules!$D$2:$D$21,commission_rules!$A$2:$A$21,B131,commission_rules!$B$2:$B$21,"&lt;="&amp;C131,commission_rules!$C$2:$C$21,"&gt;="&amp;C131)</f>
        <v/>
      </c>
      <c r="W131" s="10">
        <f>F131-I131</f>
        <v/>
      </c>
      <c r="X131" s="10">
        <f>IF(F131=0,0,H131*W131/F131)</f>
        <v/>
      </c>
      <c r="Y131" s="10">
        <f>V131*W131</f>
        <v/>
      </c>
      <c r="Z131" s="10">
        <f>W131-X131</f>
        <v/>
      </c>
      <c r="AA131" s="10">
        <f>SUMIFS(calc_payments!$N$2:$N$77,calc_payments!$B$2:$B$77,A131)</f>
        <v/>
      </c>
      <c r="AB131" s="10">
        <f>AA131-Z131</f>
        <v/>
      </c>
      <c r="AC131" s="9">
        <f>IF(T131=0,"",IF(AA131=0,IF(Z131=0,"нечего получать","нет платежа"),IF(ABS(AB131)&lt;1,"сходится","расхождение")))</f>
        <v/>
      </c>
      <c r="AD131" s="9">
        <f>MAX(0,MIN(D131,Dashboard!$C$6+1)-MAX(C131,Dashboard!$C$5))</f>
        <v/>
      </c>
      <c r="AE131" s="26">
        <f>IF(K131=0,0,AD131/K131)*T131</f>
        <v/>
      </c>
      <c r="AF131" s="10">
        <f>F131*AE131</f>
        <v/>
      </c>
      <c r="AG131" s="10">
        <f>I131*AE131</f>
        <v/>
      </c>
      <c r="AH131" s="10">
        <f>W131*AE131</f>
        <v/>
      </c>
      <c r="AI131" s="10">
        <f>X131*AE131</f>
        <v/>
      </c>
      <c r="AJ131" s="10">
        <f>Y131*AE131</f>
        <v/>
      </c>
      <c r="AK131" s="9">
        <f>IF(AND(T131=1,AD131&gt;0),1,0)</f>
        <v/>
      </c>
      <c r="AL131" s="10">
        <f>Z131*AK131</f>
        <v/>
      </c>
      <c r="AM131" s="10">
        <f>AA131*AK131</f>
        <v/>
      </c>
      <c r="AN131" s="9">
        <f>AD131*T131</f>
        <v/>
      </c>
      <c r="AO131" s="9">
        <f>S131*AK131</f>
        <v/>
      </c>
    </row>
    <row r="132">
      <c r="A132" s="9">
        <f>raw_reservations!A132</f>
        <v/>
      </c>
      <c r="B132" s="9">
        <f>raw_reservations!B132</f>
        <v/>
      </c>
      <c r="C132" s="24">
        <f>raw_reservations!C132</f>
        <v/>
      </c>
      <c r="D132" s="24">
        <f>raw_reservations!D132</f>
        <v/>
      </c>
      <c r="E132" s="9">
        <f>raw_reservations!E132</f>
        <v/>
      </c>
      <c r="F132" s="10">
        <f>raw_reservations!F132</f>
        <v/>
      </c>
      <c r="G132" s="9">
        <f>raw_reservations!G132</f>
        <v/>
      </c>
      <c r="H132" s="10">
        <f>raw_reservations!H132</f>
        <v/>
      </c>
      <c r="I132" s="10">
        <f>raw_reservations!I132</f>
        <v/>
      </c>
      <c r="J132" s="9">
        <f>raw_reservations!J132</f>
        <v/>
      </c>
      <c r="K132" s="9">
        <f>D132-C132</f>
        <v/>
      </c>
      <c r="L132" s="9">
        <f>IF(COUNTIF(A$2:A132,A132)&gt;1,1,0)</f>
        <v/>
      </c>
      <c r="M132" s="9">
        <f>IF(COUNTIF(properties!$A$2:$A$21,B132)=0,1,0)</f>
        <v/>
      </c>
      <c r="N132" s="9">
        <f>IF(M132=1,0,IF(G132&lt;&gt;INDEX(properties!$E$2:$E$21,MATCH(B132,properties!$A$2:$A$21,0)),1,0))</f>
        <v/>
      </c>
      <c r="O132" s="9">
        <f>IF(OR(I132&gt;F132,AND(E132&lt;&gt;"cancelled",I132&gt;0)),1,0)</f>
        <v/>
      </c>
      <c r="P132" s="9">
        <f>IF(H132&lt;0,1,0)</f>
        <v/>
      </c>
      <c r="Q132" s="9">
        <f>IF(L132+M132+N132+O132=0,1,0)</f>
        <v/>
      </c>
      <c r="R132" s="9">
        <f>IF(AND(Q132=1,E132&lt;&gt;"cancelled"),COUNTIFS($B$2:$B$152,B132,$Q$2:$Q$152,1,$E$2:$E$152,"&lt;&gt;cancelled",$C$2:$C$152,"&lt;"&amp;D132,$D$2:$D$152,"&gt;"&amp;C132)-1,0)</f>
        <v/>
      </c>
      <c r="S132" s="9">
        <f>IF(AND(Q132=1,OR(R132&gt;0,P132=1)),1,0)</f>
        <v/>
      </c>
      <c r="T132" s="9">
        <f>IF(Q132=0,0,IF(AND(S132=1,Dashboard!$C$7="Нет"),0,1))</f>
        <v/>
      </c>
      <c r="U132" s="9">
        <f>IF(L132=1,"Исключено: дубль",IF(M132=1,"Исключено: нет объекта",IF(N132=1,"Исключено: валюта",IF(O132=1,"Исключено: возврат/статус",IF(S132=1,"На проверке","OK")))))</f>
        <v/>
      </c>
      <c r="V132" s="25">
        <f>SUMIFS(commission_rules!$D$2:$D$21,commission_rules!$A$2:$A$21,B132,commission_rules!$B$2:$B$21,"&lt;="&amp;C132,commission_rules!$C$2:$C$21,"&gt;="&amp;C132)</f>
        <v/>
      </c>
      <c r="W132" s="10">
        <f>F132-I132</f>
        <v/>
      </c>
      <c r="X132" s="10">
        <f>IF(F132=0,0,H132*W132/F132)</f>
        <v/>
      </c>
      <c r="Y132" s="10">
        <f>V132*W132</f>
        <v/>
      </c>
      <c r="Z132" s="10">
        <f>W132-X132</f>
        <v/>
      </c>
      <c r="AA132" s="10">
        <f>SUMIFS(calc_payments!$N$2:$N$77,calc_payments!$B$2:$B$77,A132)</f>
        <v/>
      </c>
      <c r="AB132" s="10">
        <f>AA132-Z132</f>
        <v/>
      </c>
      <c r="AC132" s="9">
        <f>IF(T132=0,"",IF(AA132=0,IF(Z132=0,"нечего получать","нет платежа"),IF(ABS(AB132)&lt;1,"сходится","расхождение")))</f>
        <v/>
      </c>
      <c r="AD132" s="9">
        <f>MAX(0,MIN(D132,Dashboard!$C$6+1)-MAX(C132,Dashboard!$C$5))</f>
        <v/>
      </c>
      <c r="AE132" s="26">
        <f>IF(K132=0,0,AD132/K132)*T132</f>
        <v/>
      </c>
      <c r="AF132" s="10">
        <f>F132*AE132</f>
        <v/>
      </c>
      <c r="AG132" s="10">
        <f>I132*AE132</f>
        <v/>
      </c>
      <c r="AH132" s="10">
        <f>W132*AE132</f>
        <v/>
      </c>
      <c r="AI132" s="10">
        <f>X132*AE132</f>
        <v/>
      </c>
      <c r="AJ132" s="10">
        <f>Y132*AE132</f>
        <v/>
      </c>
      <c r="AK132" s="9">
        <f>IF(AND(T132=1,AD132&gt;0),1,0)</f>
        <v/>
      </c>
      <c r="AL132" s="10">
        <f>Z132*AK132</f>
        <v/>
      </c>
      <c r="AM132" s="10">
        <f>AA132*AK132</f>
        <v/>
      </c>
      <c r="AN132" s="9">
        <f>AD132*T132</f>
        <v/>
      </c>
      <c r="AO132" s="9">
        <f>S132*AK132</f>
        <v/>
      </c>
    </row>
    <row r="133">
      <c r="A133" s="9">
        <f>raw_reservations!A133</f>
        <v/>
      </c>
      <c r="B133" s="9">
        <f>raw_reservations!B133</f>
        <v/>
      </c>
      <c r="C133" s="24">
        <f>raw_reservations!C133</f>
        <v/>
      </c>
      <c r="D133" s="24">
        <f>raw_reservations!D133</f>
        <v/>
      </c>
      <c r="E133" s="9">
        <f>raw_reservations!E133</f>
        <v/>
      </c>
      <c r="F133" s="10">
        <f>raw_reservations!F133</f>
        <v/>
      </c>
      <c r="G133" s="9">
        <f>raw_reservations!G133</f>
        <v/>
      </c>
      <c r="H133" s="10">
        <f>raw_reservations!H133</f>
        <v/>
      </c>
      <c r="I133" s="10">
        <f>raw_reservations!I133</f>
        <v/>
      </c>
      <c r="J133" s="9">
        <f>raw_reservations!J133</f>
        <v/>
      </c>
      <c r="K133" s="9">
        <f>D133-C133</f>
        <v/>
      </c>
      <c r="L133" s="9">
        <f>IF(COUNTIF(A$2:A133,A133)&gt;1,1,0)</f>
        <v/>
      </c>
      <c r="M133" s="9">
        <f>IF(COUNTIF(properties!$A$2:$A$21,B133)=0,1,0)</f>
        <v/>
      </c>
      <c r="N133" s="9">
        <f>IF(M133=1,0,IF(G133&lt;&gt;INDEX(properties!$E$2:$E$21,MATCH(B133,properties!$A$2:$A$21,0)),1,0))</f>
        <v/>
      </c>
      <c r="O133" s="9">
        <f>IF(OR(I133&gt;F133,AND(E133&lt;&gt;"cancelled",I133&gt;0)),1,0)</f>
        <v/>
      </c>
      <c r="P133" s="9">
        <f>IF(H133&lt;0,1,0)</f>
        <v/>
      </c>
      <c r="Q133" s="9">
        <f>IF(L133+M133+N133+O133=0,1,0)</f>
        <v/>
      </c>
      <c r="R133" s="9">
        <f>IF(AND(Q133=1,E133&lt;&gt;"cancelled"),COUNTIFS($B$2:$B$152,B133,$Q$2:$Q$152,1,$E$2:$E$152,"&lt;&gt;cancelled",$C$2:$C$152,"&lt;"&amp;D133,$D$2:$D$152,"&gt;"&amp;C133)-1,0)</f>
        <v/>
      </c>
      <c r="S133" s="9">
        <f>IF(AND(Q133=1,OR(R133&gt;0,P133=1)),1,0)</f>
        <v/>
      </c>
      <c r="T133" s="9">
        <f>IF(Q133=0,0,IF(AND(S133=1,Dashboard!$C$7="Нет"),0,1))</f>
        <v/>
      </c>
      <c r="U133" s="9">
        <f>IF(L133=1,"Исключено: дубль",IF(M133=1,"Исключено: нет объекта",IF(N133=1,"Исключено: валюта",IF(O133=1,"Исключено: возврат/статус",IF(S133=1,"На проверке","OK")))))</f>
        <v/>
      </c>
      <c r="V133" s="25">
        <f>SUMIFS(commission_rules!$D$2:$D$21,commission_rules!$A$2:$A$21,B133,commission_rules!$B$2:$B$21,"&lt;="&amp;C133,commission_rules!$C$2:$C$21,"&gt;="&amp;C133)</f>
        <v/>
      </c>
      <c r="W133" s="10">
        <f>F133-I133</f>
        <v/>
      </c>
      <c r="X133" s="10">
        <f>IF(F133=0,0,H133*W133/F133)</f>
        <v/>
      </c>
      <c r="Y133" s="10">
        <f>V133*W133</f>
        <v/>
      </c>
      <c r="Z133" s="10">
        <f>W133-X133</f>
        <v/>
      </c>
      <c r="AA133" s="10">
        <f>SUMIFS(calc_payments!$N$2:$N$77,calc_payments!$B$2:$B$77,A133)</f>
        <v/>
      </c>
      <c r="AB133" s="10">
        <f>AA133-Z133</f>
        <v/>
      </c>
      <c r="AC133" s="9">
        <f>IF(T133=0,"",IF(AA133=0,IF(Z133=0,"нечего получать","нет платежа"),IF(ABS(AB133)&lt;1,"сходится","расхождение")))</f>
        <v/>
      </c>
      <c r="AD133" s="9">
        <f>MAX(0,MIN(D133,Dashboard!$C$6+1)-MAX(C133,Dashboard!$C$5))</f>
        <v/>
      </c>
      <c r="AE133" s="26">
        <f>IF(K133=0,0,AD133/K133)*T133</f>
        <v/>
      </c>
      <c r="AF133" s="10">
        <f>F133*AE133</f>
        <v/>
      </c>
      <c r="AG133" s="10">
        <f>I133*AE133</f>
        <v/>
      </c>
      <c r="AH133" s="10">
        <f>W133*AE133</f>
        <v/>
      </c>
      <c r="AI133" s="10">
        <f>X133*AE133</f>
        <v/>
      </c>
      <c r="AJ133" s="10">
        <f>Y133*AE133</f>
        <v/>
      </c>
      <c r="AK133" s="9">
        <f>IF(AND(T133=1,AD133&gt;0),1,0)</f>
        <v/>
      </c>
      <c r="AL133" s="10">
        <f>Z133*AK133</f>
        <v/>
      </c>
      <c r="AM133" s="10">
        <f>AA133*AK133</f>
        <v/>
      </c>
      <c r="AN133" s="9">
        <f>AD133*T133</f>
        <v/>
      </c>
      <c r="AO133" s="9">
        <f>S133*AK133</f>
        <v/>
      </c>
    </row>
    <row r="134">
      <c r="A134" s="9">
        <f>raw_reservations!A134</f>
        <v/>
      </c>
      <c r="B134" s="9">
        <f>raw_reservations!B134</f>
        <v/>
      </c>
      <c r="C134" s="24">
        <f>raw_reservations!C134</f>
        <v/>
      </c>
      <c r="D134" s="24">
        <f>raw_reservations!D134</f>
        <v/>
      </c>
      <c r="E134" s="9">
        <f>raw_reservations!E134</f>
        <v/>
      </c>
      <c r="F134" s="10">
        <f>raw_reservations!F134</f>
        <v/>
      </c>
      <c r="G134" s="9">
        <f>raw_reservations!G134</f>
        <v/>
      </c>
      <c r="H134" s="10">
        <f>raw_reservations!H134</f>
        <v/>
      </c>
      <c r="I134" s="10">
        <f>raw_reservations!I134</f>
        <v/>
      </c>
      <c r="J134" s="9">
        <f>raw_reservations!J134</f>
        <v/>
      </c>
      <c r="K134" s="9">
        <f>D134-C134</f>
        <v/>
      </c>
      <c r="L134" s="9">
        <f>IF(COUNTIF(A$2:A134,A134)&gt;1,1,0)</f>
        <v/>
      </c>
      <c r="M134" s="9">
        <f>IF(COUNTIF(properties!$A$2:$A$21,B134)=0,1,0)</f>
        <v/>
      </c>
      <c r="N134" s="9">
        <f>IF(M134=1,0,IF(G134&lt;&gt;INDEX(properties!$E$2:$E$21,MATCH(B134,properties!$A$2:$A$21,0)),1,0))</f>
        <v/>
      </c>
      <c r="O134" s="9">
        <f>IF(OR(I134&gt;F134,AND(E134&lt;&gt;"cancelled",I134&gt;0)),1,0)</f>
        <v/>
      </c>
      <c r="P134" s="9">
        <f>IF(H134&lt;0,1,0)</f>
        <v/>
      </c>
      <c r="Q134" s="9">
        <f>IF(L134+M134+N134+O134=0,1,0)</f>
        <v/>
      </c>
      <c r="R134" s="9">
        <f>IF(AND(Q134=1,E134&lt;&gt;"cancelled"),COUNTIFS($B$2:$B$152,B134,$Q$2:$Q$152,1,$E$2:$E$152,"&lt;&gt;cancelled",$C$2:$C$152,"&lt;"&amp;D134,$D$2:$D$152,"&gt;"&amp;C134)-1,0)</f>
        <v/>
      </c>
      <c r="S134" s="9">
        <f>IF(AND(Q134=1,OR(R134&gt;0,P134=1)),1,0)</f>
        <v/>
      </c>
      <c r="T134" s="9">
        <f>IF(Q134=0,0,IF(AND(S134=1,Dashboard!$C$7="Нет"),0,1))</f>
        <v/>
      </c>
      <c r="U134" s="9">
        <f>IF(L134=1,"Исключено: дубль",IF(M134=1,"Исключено: нет объекта",IF(N134=1,"Исключено: валюта",IF(O134=1,"Исключено: возврат/статус",IF(S134=1,"На проверке","OK")))))</f>
        <v/>
      </c>
      <c r="V134" s="25">
        <f>SUMIFS(commission_rules!$D$2:$D$21,commission_rules!$A$2:$A$21,B134,commission_rules!$B$2:$B$21,"&lt;="&amp;C134,commission_rules!$C$2:$C$21,"&gt;="&amp;C134)</f>
        <v/>
      </c>
      <c r="W134" s="10">
        <f>F134-I134</f>
        <v/>
      </c>
      <c r="X134" s="10">
        <f>IF(F134=0,0,H134*W134/F134)</f>
        <v/>
      </c>
      <c r="Y134" s="10">
        <f>V134*W134</f>
        <v/>
      </c>
      <c r="Z134" s="10">
        <f>W134-X134</f>
        <v/>
      </c>
      <c r="AA134" s="10">
        <f>SUMIFS(calc_payments!$N$2:$N$77,calc_payments!$B$2:$B$77,A134)</f>
        <v/>
      </c>
      <c r="AB134" s="10">
        <f>AA134-Z134</f>
        <v/>
      </c>
      <c r="AC134" s="9">
        <f>IF(T134=0,"",IF(AA134=0,IF(Z134=0,"нечего получать","нет платежа"),IF(ABS(AB134)&lt;1,"сходится","расхождение")))</f>
        <v/>
      </c>
      <c r="AD134" s="9">
        <f>MAX(0,MIN(D134,Dashboard!$C$6+1)-MAX(C134,Dashboard!$C$5))</f>
        <v/>
      </c>
      <c r="AE134" s="26">
        <f>IF(K134=0,0,AD134/K134)*T134</f>
        <v/>
      </c>
      <c r="AF134" s="10">
        <f>F134*AE134</f>
        <v/>
      </c>
      <c r="AG134" s="10">
        <f>I134*AE134</f>
        <v/>
      </c>
      <c r="AH134" s="10">
        <f>W134*AE134</f>
        <v/>
      </c>
      <c r="AI134" s="10">
        <f>X134*AE134</f>
        <v/>
      </c>
      <c r="AJ134" s="10">
        <f>Y134*AE134</f>
        <v/>
      </c>
      <c r="AK134" s="9">
        <f>IF(AND(T134=1,AD134&gt;0),1,0)</f>
        <v/>
      </c>
      <c r="AL134" s="10">
        <f>Z134*AK134</f>
        <v/>
      </c>
      <c r="AM134" s="10">
        <f>AA134*AK134</f>
        <v/>
      </c>
      <c r="AN134" s="9">
        <f>AD134*T134</f>
        <v/>
      </c>
      <c r="AO134" s="9">
        <f>S134*AK134</f>
        <v/>
      </c>
    </row>
    <row r="135">
      <c r="A135" s="9">
        <f>raw_reservations!A135</f>
        <v/>
      </c>
      <c r="B135" s="9">
        <f>raw_reservations!B135</f>
        <v/>
      </c>
      <c r="C135" s="24">
        <f>raw_reservations!C135</f>
        <v/>
      </c>
      <c r="D135" s="24">
        <f>raw_reservations!D135</f>
        <v/>
      </c>
      <c r="E135" s="9">
        <f>raw_reservations!E135</f>
        <v/>
      </c>
      <c r="F135" s="10">
        <f>raw_reservations!F135</f>
        <v/>
      </c>
      <c r="G135" s="9">
        <f>raw_reservations!G135</f>
        <v/>
      </c>
      <c r="H135" s="10">
        <f>raw_reservations!H135</f>
        <v/>
      </c>
      <c r="I135" s="10">
        <f>raw_reservations!I135</f>
        <v/>
      </c>
      <c r="J135" s="9">
        <f>raw_reservations!J135</f>
        <v/>
      </c>
      <c r="K135" s="9">
        <f>D135-C135</f>
        <v/>
      </c>
      <c r="L135" s="9">
        <f>IF(COUNTIF(A$2:A135,A135)&gt;1,1,0)</f>
        <v/>
      </c>
      <c r="M135" s="9">
        <f>IF(COUNTIF(properties!$A$2:$A$21,B135)=0,1,0)</f>
        <v/>
      </c>
      <c r="N135" s="9">
        <f>IF(M135=1,0,IF(G135&lt;&gt;INDEX(properties!$E$2:$E$21,MATCH(B135,properties!$A$2:$A$21,0)),1,0))</f>
        <v/>
      </c>
      <c r="O135" s="9">
        <f>IF(OR(I135&gt;F135,AND(E135&lt;&gt;"cancelled",I135&gt;0)),1,0)</f>
        <v/>
      </c>
      <c r="P135" s="9">
        <f>IF(H135&lt;0,1,0)</f>
        <v/>
      </c>
      <c r="Q135" s="9">
        <f>IF(L135+M135+N135+O135=0,1,0)</f>
        <v/>
      </c>
      <c r="R135" s="9">
        <f>IF(AND(Q135=1,E135&lt;&gt;"cancelled"),COUNTIFS($B$2:$B$152,B135,$Q$2:$Q$152,1,$E$2:$E$152,"&lt;&gt;cancelled",$C$2:$C$152,"&lt;"&amp;D135,$D$2:$D$152,"&gt;"&amp;C135)-1,0)</f>
        <v/>
      </c>
      <c r="S135" s="9">
        <f>IF(AND(Q135=1,OR(R135&gt;0,P135=1)),1,0)</f>
        <v/>
      </c>
      <c r="T135" s="9">
        <f>IF(Q135=0,0,IF(AND(S135=1,Dashboard!$C$7="Нет"),0,1))</f>
        <v/>
      </c>
      <c r="U135" s="9">
        <f>IF(L135=1,"Исключено: дубль",IF(M135=1,"Исключено: нет объекта",IF(N135=1,"Исключено: валюта",IF(O135=1,"Исключено: возврат/статус",IF(S135=1,"На проверке","OK")))))</f>
        <v/>
      </c>
      <c r="V135" s="25">
        <f>SUMIFS(commission_rules!$D$2:$D$21,commission_rules!$A$2:$A$21,B135,commission_rules!$B$2:$B$21,"&lt;="&amp;C135,commission_rules!$C$2:$C$21,"&gt;="&amp;C135)</f>
        <v/>
      </c>
      <c r="W135" s="10">
        <f>F135-I135</f>
        <v/>
      </c>
      <c r="X135" s="10">
        <f>IF(F135=0,0,H135*W135/F135)</f>
        <v/>
      </c>
      <c r="Y135" s="10">
        <f>V135*W135</f>
        <v/>
      </c>
      <c r="Z135" s="10">
        <f>W135-X135</f>
        <v/>
      </c>
      <c r="AA135" s="10">
        <f>SUMIFS(calc_payments!$N$2:$N$77,calc_payments!$B$2:$B$77,A135)</f>
        <v/>
      </c>
      <c r="AB135" s="10">
        <f>AA135-Z135</f>
        <v/>
      </c>
      <c r="AC135" s="9">
        <f>IF(T135=0,"",IF(AA135=0,IF(Z135=0,"нечего получать","нет платежа"),IF(ABS(AB135)&lt;1,"сходится","расхождение")))</f>
        <v/>
      </c>
      <c r="AD135" s="9">
        <f>MAX(0,MIN(D135,Dashboard!$C$6+1)-MAX(C135,Dashboard!$C$5))</f>
        <v/>
      </c>
      <c r="AE135" s="26">
        <f>IF(K135=0,0,AD135/K135)*T135</f>
        <v/>
      </c>
      <c r="AF135" s="10">
        <f>F135*AE135</f>
        <v/>
      </c>
      <c r="AG135" s="10">
        <f>I135*AE135</f>
        <v/>
      </c>
      <c r="AH135" s="10">
        <f>W135*AE135</f>
        <v/>
      </c>
      <c r="AI135" s="10">
        <f>X135*AE135</f>
        <v/>
      </c>
      <c r="AJ135" s="10">
        <f>Y135*AE135</f>
        <v/>
      </c>
      <c r="AK135" s="9">
        <f>IF(AND(T135=1,AD135&gt;0),1,0)</f>
        <v/>
      </c>
      <c r="AL135" s="10">
        <f>Z135*AK135</f>
        <v/>
      </c>
      <c r="AM135" s="10">
        <f>AA135*AK135</f>
        <v/>
      </c>
      <c r="AN135" s="9">
        <f>AD135*T135</f>
        <v/>
      </c>
      <c r="AO135" s="9">
        <f>S135*AK135</f>
        <v/>
      </c>
    </row>
    <row r="136">
      <c r="A136" s="9">
        <f>raw_reservations!A136</f>
        <v/>
      </c>
      <c r="B136" s="9">
        <f>raw_reservations!B136</f>
        <v/>
      </c>
      <c r="C136" s="24">
        <f>raw_reservations!C136</f>
        <v/>
      </c>
      <c r="D136" s="24">
        <f>raw_reservations!D136</f>
        <v/>
      </c>
      <c r="E136" s="9">
        <f>raw_reservations!E136</f>
        <v/>
      </c>
      <c r="F136" s="10">
        <f>raw_reservations!F136</f>
        <v/>
      </c>
      <c r="G136" s="9">
        <f>raw_reservations!G136</f>
        <v/>
      </c>
      <c r="H136" s="10">
        <f>raw_reservations!H136</f>
        <v/>
      </c>
      <c r="I136" s="10">
        <f>raw_reservations!I136</f>
        <v/>
      </c>
      <c r="J136" s="9">
        <f>raw_reservations!J136</f>
        <v/>
      </c>
      <c r="K136" s="9">
        <f>D136-C136</f>
        <v/>
      </c>
      <c r="L136" s="9">
        <f>IF(COUNTIF(A$2:A136,A136)&gt;1,1,0)</f>
        <v/>
      </c>
      <c r="M136" s="9">
        <f>IF(COUNTIF(properties!$A$2:$A$21,B136)=0,1,0)</f>
        <v/>
      </c>
      <c r="N136" s="9">
        <f>IF(M136=1,0,IF(G136&lt;&gt;INDEX(properties!$E$2:$E$21,MATCH(B136,properties!$A$2:$A$21,0)),1,0))</f>
        <v/>
      </c>
      <c r="O136" s="9">
        <f>IF(OR(I136&gt;F136,AND(E136&lt;&gt;"cancelled",I136&gt;0)),1,0)</f>
        <v/>
      </c>
      <c r="P136" s="9">
        <f>IF(H136&lt;0,1,0)</f>
        <v/>
      </c>
      <c r="Q136" s="9">
        <f>IF(L136+M136+N136+O136=0,1,0)</f>
        <v/>
      </c>
      <c r="R136" s="9">
        <f>IF(AND(Q136=1,E136&lt;&gt;"cancelled"),COUNTIFS($B$2:$B$152,B136,$Q$2:$Q$152,1,$E$2:$E$152,"&lt;&gt;cancelled",$C$2:$C$152,"&lt;"&amp;D136,$D$2:$D$152,"&gt;"&amp;C136)-1,0)</f>
        <v/>
      </c>
      <c r="S136" s="9">
        <f>IF(AND(Q136=1,OR(R136&gt;0,P136=1)),1,0)</f>
        <v/>
      </c>
      <c r="T136" s="9">
        <f>IF(Q136=0,0,IF(AND(S136=1,Dashboard!$C$7="Нет"),0,1))</f>
        <v/>
      </c>
      <c r="U136" s="9">
        <f>IF(L136=1,"Исключено: дубль",IF(M136=1,"Исключено: нет объекта",IF(N136=1,"Исключено: валюта",IF(O136=1,"Исключено: возврат/статус",IF(S136=1,"На проверке","OK")))))</f>
        <v/>
      </c>
      <c r="V136" s="25">
        <f>SUMIFS(commission_rules!$D$2:$D$21,commission_rules!$A$2:$A$21,B136,commission_rules!$B$2:$B$21,"&lt;="&amp;C136,commission_rules!$C$2:$C$21,"&gt;="&amp;C136)</f>
        <v/>
      </c>
      <c r="W136" s="10">
        <f>F136-I136</f>
        <v/>
      </c>
      <c r="X136" s="10">
        <f>IF(F136=0,0,H136*W136/F136)</f>
        <v/>
      </c>
      <c r="Y136" s="10">
        <f>V136*W136</f>
        <v/>
      </c>
      <c r="Z136" s="10">
        <f>W136-X136</f>
        <v/>
      </c>
      <c r="AA136" s="10">
        <f>SUMIFS(calc_payments!$N$2:$N$77,calc_payments!$B$2:$B$77,A136)</f>
        <v/>
      </c>
      <c r="AB136" s="10">
        <f>AA136-Z136</f>
        <v/>
      </c>
      <c r="AC136" s="9">
        <f>IF(T136=0,"",IF(AA136=0,IF(Z136=0,"нечего получать","нет платежа"),IF(ABS(AB136)&lt;1,"сходится","расхождение")))</f>
        <v/>
      </c>
      <c r="AD136" s="9">
        <f>MAX(0,MIN(D136,Dashboard!$C$6+1)-MAX(C136,Dashboard!$C$5))</f>
        <v/>
      </c>
      <c r="AE136" s="26">
        <f>IF(K136=0,0,AD136/K136)*T136</f>
        <v/>
      </c>
      <c r="AF136" s="10">
        <f>F136*AE136</f>
        <v/>
      </c>
      <c r="AG136" s="10">
        <f>I136*AE136</f>
        <v/>
      </c>
      <c r="AH136" s="10">
        <f>W136*AE136</f>
        <v/>
      </c>
      <c r="AI136" s="10">
        <f>X136*AE136</f>
        <v/>
      </c>
      <c r="AJ136" s="10">
        <f>Y136*AE136</f>
        <v/>
      </c>
      <c r="AK136" s="9">
        <f>IF(AND(T136=1,AD136&gt;0),1,0)</f>
        <v/>
      </c>
      <c r="AL136" s="10">
        <f>Z136*AK136</f>
        <v/>
      </c>
      <c r="AM136" s="10">
        <f>AA136*AK136</f>
        <v/>
      </c>
      <c r="AN136" s="9">
        <f>AD136*T136</f>
        <v/>
      </c>
      <c r="AO136" s="9">
        <f>S136*AK136</f>
        <v/>
      </c>
    </row>
    <row r="137">
      <c r="A137" s="9">
        <f>raw_reservations!A137</f>
        <v/>
      </c>
      <c r="B137" s="9">
        <f>raw_reservations!B137</f>
        <v/>
      </c>
      <c r="C137" s="24">
        <f>raw_reservations!C137</f>
        <v/>
      </c>
      <c r="D137" s="24">
        <f>raw_reservations!D137</f>
        <v/>
      </c>
      <c r="E137" s="9">
        <f>raw_reservations!E137</f>
        <v/>
      </c>
      <c r="F137" s="10">
        <f>raw_reservations!F137</f>
        <v/>
      </c>
      <c r="G137" s="9">
        <f>raw_reservations!G137</f>
        <v/>
      </c>
      <c r="H137" s="10">
        <f>raw_reservations!H137</f>
        <v/>
      </c>
      <c r="I137" s="10">
        <f>raw_reservations!I137</f>
        <v/>
      </c>
      <c r="J137" s="9">
        <f>raw_reservations!J137</f>
        <v/>
      </c>
      <c r="K137" s="9">
        <f>D137-C137</f>
        <v/>
      </c>
      <c r="L137" s="9">
        <f>IF(COUNTIF(A$2:A137,A137)&gt;1,1,0)</f>
        <v/>
      </c>
      <c r="M137" s="9">
        <f>IF(COUNTIF(properties!$A$2:$A$21,B137)=0,1,0)</f>
        <v/>
      </c>
      <c r="N137" s="9">
        <f>IF(M137=1,0,IF(G137&lt;&gt;INDEX(properties!$E$2:$E$21,MATCH(B137,properties!$A$2:$A$21,0)),1,0))</f>
        <v/>
      </c>
      <c r="O137" s="9">
        <f>IF(OR(I137&gt;F137,AND(E137&lt;&gt;"cancelled",I137&gt;0)),1,0)</f>
        <v/>
      </c>
      <c r="P137" s="9">
        <f>IF(H137&lt;0,1,0)</f>
        <v/>
      </c>
      <c r="Q137" s="9">
        <f>IF(L137+M137+N137+O137=0,1,0)</f>
        <v/>
      </c>
      <c r="R137" s="9">
        <f>IF(AND(Q137=1,E137&lt;&gt;"cancelled"),COUNTIFS($B$2:$B$152,B137,$Q$2:$Q$152,1,$E$2:$E$152,"&lt;&gt;cancelled",$C$2:$C$152,"&lt;"&amp;D137,$D$2:$D$152,"&gt;"&amp;C137)-1,0)</f>
        <v/>
      </c>
      <c r="S137" s="9">
        <f>IF(AND(Q137=1,OR(R137&gt;0,P137=1)),1,0)</f>
        <v/>
      </c>
      <c r="T137" s="9">
        <f>IF(Q137=0,0,IF(AND(S137=1,Dashboard!$C$7="Нет"),0,1))</f>
        <v/>
      </c>
      <c r="U137" s="9">
        <f>IF(L137=1,"Исключено: дубль",IF(M137=1,"Исключено: нет объекта",IF(N137=1,"Исключено: валюта",IF(O137=1,"Исключено: возврат/статус",IF(S137=1,"На проверке","OK")))))</f>
        <v/>
      </c>
      <c r="V137" s="25">
        <f>SUMIFS(commission_rules!$D$2:$D$21,commission_rules!$A$2:$A$21,B137,commission_rules!$B$2:$B$21,"&lt;="&amp;C137,commission_rules!$C$2:$C$21,"&gt;="&amp;C137)</f>
        <v/>
      </c>
      <c r="W137" s="10">
        <f>F137-I137</f>
        <v/>
      </c>
      <c r="X137" s="10">
        <f>IF(F137=0,0,H137*W137/F137)</f>
        <v/>
      </c>
      <c r="Y137" s="10">
        <f>V137*W137</f>
        <v/>
      </c>
      <c r="Z137" s="10">
        <f>W137-X137</f>
        <v/>
      </c>
      <c r="AA137" s="10">
        <f>SUMIFS(calc_payments!$N$2:$N$77,calc_payments!$B$2:$B$77,A137)</f>
        <v/>
      </c>
      <c r="AB137" s="10">
        <f>AA137-Z137</f>
        <v/>
      </c>
      <c r="AC137" s="9">
        <f>IF(T137=0,"",IF(AA137=0,IF(Z137=0,"нечего получать","нет платежа"),IF(ABS(AB137)&lt;1,"сходится","расхождение")))</f>
        <v/>
      </c>
      <c r="AD137" s="9">
        <f>MAX(0,MIN(D137,Dashboard!$C$6+1)-MAX(C137,Dashboard!$C$5))</f>
        <v/>
      </c>
      <c r="AE137" s="26">
        <f>IF(K137=0,0,AD137/K137)*T137</f>
        <v/>
      </c>
      <c r="AF137" s="10">
        <f>F137*AE137</f>
        <v/>
      </c>
      <c r="AG137" s="10">
        <f>I137*AE137</f>
        <v/>
      </c>
      <c r="AH137" s="10">
        <f>W137*AE137</f>
        <v/>
      </c>
      <c r="AI137" s="10">
        <f>X137*AE137</f>
        <v/>
      </c>
      <c r="AJ137" s="10">
        <f>Y137*AE137</f>
        <v/>
      </c>
      <c r="AK137" s="9">
        <f>IF(AND(T137=1,AD137&gt;0),1,0)</f>
        <v/>
      </c>
      <c r="AL137" s="10">
        <f>Z137*AK137</f>
        <v/>
      </c>
      <c r="AM137" s="10">
        <f>AA137*AK137</f>
        <v/>
      </c>
      <c r="AN137" s="9">
        <f>AD137*T137</f>
        <v/>
      </c>
      <c r="AO137" s="9">
        <f>S137*AK137</f>
        <v/>
      </c>
    </row>
    <row r="138">
      <c r="A138" s="9">
        <f>raw_reservations!A138</f>
        <v/>
      </c>
      <c r="B138" s="9">
        <f>raw_reservations!B138</f>
        <v/>
      </c>
      <c r="C138" s="24">
        <f>raw_reservations!C138</f>
        <v/>
      </c>
      <c r="D138" s="24">
        <f>raw_reservations!D138</f>
        <v/>
      </c>
      <c r="E138" s="9">
        <f>raw_reservations!E138</f>
        <v/>
      </c>
      <c r="F138" s="10">
        <f>raw_reservations!F138</f>
        <v/>
      </c>
      <c r="G138" s="9">
        <f>raw_reservations!G138</f>
        <v/>
      </c>
      <c r="H138" s="10">
        <f>raw_reservations!H138</f>
        <v/>
      </c>
      <c r="I138" s="10">
        <f>raw_reservations!I138</f>
        <v/>
      </c>
      <c r="J138" s="9">
        <f>raw_reservations!J138</f>
        <v/>
      </c>
      <c r="K138" s="9">
        <f>D138-C138</f>
        <v/>
      </c>
      <c r="L138" s="9">
        <f>IF(COUNTIF(A$2:A138,A138)&gt;1,1,0)</f>
        <v/>
      </c>
      <c r="M138" s="9">
        <f>IF(COUNTIF(properties!$A$2:$A$21,B138)=0,1,0)</f>
        <v/>
      </c>
      <c r="N138" s="9">
        <f>IF(M138=1,0,IF(G138&lt;&gt;INDEX(properties!$E$2:$E$21,MATCH(B138,properties!$A$2:$A$21,0)),1,0))</f>
        <v/>
      </c>
      <c r="O138" s="9">
        <f>IF(OR(I138&gt;F138,AND(E138&lt;&gt;"cancelled",I138&gt;0)),1,0)</f>
        <v/>
      </c>
      <c r="P138" s="9">
        <f>IF(H138&lt;0,1,0)</f>
        <v/>
      </c>
      <c r="Q138" s="9">
        <f>IF(L138+M138+N138+O138=0,1,0)</f>
        <v/>
      </c>
      <c r="R138" s="9">
        <f>IF(AND(Q138=1,E138&lt;&gt;"cancelled"),COUNTIFS($B$2:$B$152,B138,$Q$2:$Q$152,1,$E$2:$E$152,"&lt;&gt;cancelled",$C$2:$C$152,"&lt;"&amp;D138,$D$2:$D$152,"&gt;"&amp;C138)-1,0)</f>
        <v/>
      </c>
      <c r="S138" s="9">
        <f>IF(AND(Q138=1,OR(R138&gt;0,P138=1)),1,0)</f>
        <v/>
      </c>
      <c r="T138" s="9">
        <f>IF(Q138=0,0,IF(AND(S138=1,Dashboard!$C$7="Нет"),0,1))</f>
        <v/>
      </c>
      <c r="U138" s="9">
        <f>IF(L138=1,"Исключено: дубль",IF(M138=1,"Исключено: нет объекта",IF(N138=1,"Исключено: валюта",IF(O138=1,"Исключено: возврат/статус",IF(S138=1,"На проверке","OK")))))</f>
        <v/>
      </c>
      <c r="V138" s="25">
        <f>SUMIFS(commission_rules!$D$2:$D$21,commission_rules!$A$2:$A$21,B138,commission_rules!$B$2:$B$21,"&lt;="&amp;C138,commission_rules!$C$2:$C$21,"&gt;="&amp;C138)</f>
        <v/>
      </c>
      <c r="W138" s="10">
        <f>F138-I138</f>
        <v/>
      </c>
      <c r="X138" s="10">
        <f>IF(F138=0,0,H138*W138/F138)</f>
        <v/>
      </c>
      <c r="Y138" s="10">
        <f>V138*W138</f>
        <v/>
      </c>
      <c r="Z138" s="10">
        <f>W138-X138</f>
        <v/>
      </c>
      <c r="AA138" s="10">
        <f>SUMIFS(calc_payments!$N$2:$N$77,calc_payments!$B$2:$B$77,A138)</f>
        <v/>
      </c>
      <c r="AB138" s="10">
        <f>AA138-Z138</f>
        <v/>
      </c>
      <c r="AC138" s="9">
        <f>IF(T138=0,"",IF(AA138=0,IF(Z138=0,"нечего получать","нет платежа"),IF(ABS(AB138)&lt;1,"сходится","расхождение")))</f>
        <v/>
      </c>
      <c r="AD138" s="9">
        <f>MAX(0,MIN(D138,Dashboard!$C$6+1)-MAX(C138,Dashboard!$C$5))</f>
        <v/>
      </c>
      <c r="AE138" s="26">
        <f>IF(K138=0,0,AD138/K138)*T138</f>
        <v/>
      </c>
      <c r="AF138" s="10">
        <f>F138*AE138</f>
        <v/>
      </c>
      <c r="AG138" s="10">
        <f>I138*AE138</f>
        <v/>
      </c>
      <c r="AH138" s="10">
        <f>W138*AE138</f>
        <v/>
      </c>
      <c r="AI138" s="10">
        <f>X138*AE138</f>
        <v/>
      </c>
      <c r="AJ138" s="10">
        <f>Y138*AE138</f>
        <v/>
      </c>
      <c r="AK138" s="9">
        <f>IF(AND(T138=1,AD138&gt;0),1,0)</f>
        <v/>
      </c>
      <c r="AL138" s="10">
        <f>Z138*AK138</f>
        <v/>
      </c>
      <c r="AM138" s="10">
        <f>AA138*AK138</f>
        <v/>
      </c>
      <c r="AN138" s="9">
        <f>AD138*T138</f>
        <v/>
      </c>
      <c r="AO138" s="9">
        <f>S138*AK138</f>
        <v/>
      </c>
    </row>
    <row r="139">
      <c r="A139" s="9">
        <f>raw_reservations!A139</f>
        <v/>
      </c>
      <c r="B139" s="9">
        <f>raw_reservations!B139</f>
        <v/>
      </c>
      <c r="C139" s="24">
        <f>raw_reservations!C139</f>
        <v/>
      </c>
      <c r="D139" s="24">
        <f>raw_reservations!D139</f>
        <v/>
      </c>
      <c r="E139" s="9">
        <f>raw_reservations!E139</f>
        <v/>
      </c>
      <c r="F139" s="10">
        <f>raw_reservations!F139</f>
        <v/>
      </c>
      <c r="G139" s="9">
        <f>raw_reservations!G139</f>
        <v/>
      </c>
      <c r="H139" s="10">
        <f>raw_reservations!H139</f>
        <v/>
      </c>
      <c r="I139" s="10">
        <f>raw_reservations!I139</f>
        <v/>
      </c>
      <c r="J139" s="9">
        <f>raw_reservations!J139</f>
        <v/>
      </c>
      <c r="K139" s="9">
        <f>D139-C139</f>
        <v/>
      </c>
      <c r="L139" s="9">
        <f>IF(COUNTIF(A$2:A139,A139)&gt;1,1,0)</f>
        <v/>
      </c>
      <c r="M139" s="9">
        <f>IF(COUNTIF(properties!$A$2:$A$21,B139)=0,1,0)</f>
        <v/>
      </c>
      <c r="N139" s="9">
        <f>IF(M139=1,0,IF(G139&lt;&gt;INDEX(properties!$E$2:$E$21,MATCH(B139,properties!$A$2:$A$21,0)),1,0))</f>
        <v/>
      </c>
      <c r="O139" s="9">
        <f>IF(OR(I139&gt;F139,AND(E139&lt;&gt;"cancelled",I139&gt;0)),1,0)</f>
        <v/>
      </c>
      <c r="P139" s="9">
        <f>IF(H139&lt;0,1,0)</f>
        <v/>
      </c>
      <c r="Q139" s="9">
        <f>IF(L139+M139+N139+O139=0,1,0)</f>
        <v/>
      </c>
      <c r="R139" s="9">
        <f>IF(AND(Q139=1,E139&lt;&gt;"cancelled"),COUNTIFS($B$2:$B$152,B139,$Q$2:$Q$152,1,$E$2:$E$152,"&lt;&gt;cancelled",$C$2:$C$152,"&lt;"&amp;D139,$D$2:$D$152,"&gt;"&amp;C139)-1,0)</f>
        <v/>
      </c>
      <c r="S139" s="9">
        <f>IF(AND(Q139=1,OR(R139&gt;0,P139=1)),1,0)</f>
        <v/>
      </c>
      <c r="T139" s="9">
        <f>IF(Q139=0,0,IF(AND(S139=1,Dashboard!$C$7="Нет"),0,1))</f>
        <v/>
      </c>
      <c r="U139" s="9">
        <f>IF(L139=1,"Исключено: дубль",IF(M139=1,"Исключено: нет объекта",IF(N139=1,"Исключено: валюта",IF(O139=1,"Исключено: возврат/статус",IF(S139=1,"На проверке","OK")))))</f>
        <v/>
      </c>
      <c r="V139" s="25">
        <f>SUMIFS(commission_rules!$D$2:$D$21,commission_rules!$A$2:$A$21,B139,commission_rules!$B$2:$B$21,"&lt;="&amp;C139,commission_rules!$C$2:$C$21,"&gt;="&amp;C139)</f>
        <v/>
      </c>
      <c r="W139" s="10">
        <f>F139-I139</f>
        <v/>
      </c>
      <c r="X139" s="10">
        <f>IF(F139=0,0,H139*W139/F139)</f>
        <v/>
      </c>
      <c r="Y139" s="10">
        <f>V139*W139</f>
        <v/>
      </c>
      <c r="Z139" s="10">
        <f>W139-X139</f>
        <v/>
      </c>
      <c r="AA139" s="10">
        <f>SUMIFS(calc_payments!$N$2:$N$77,calc_payments!$B$2:$B$77,A139)</f>
        <v/>
      </c>
      <c r="AB139" s="10">
        <f>AA139-Z139</f>
        <v/>
      </c>
      <c r="AC139" s="9">
        <f>IF(T139=0,"",IF(AA139=0,IF(Z139=0,"нечего получать","нет платежа"),IF(ABS(AB139)&lt;1,"сходится","расхождение")))</f>
        <v/>
      </c>
      <c r="AD139" s="9">
        <f>MAX(0,MIN(D139,Dashboard!$C$6+1)-MAX(C139,Dashboard!$C$5))</f>
        <v/>
      </c>
      <c r="AE139" s="26">
        <f>IF(K139=0,0,AD139/K139)*T139</f>
        <v/>
      </c>
      <c r="AF139" s="10">
        <f>F139*AE139</f>
        <v/>
      </c>
      <c r="AG139" s="10">
        <f>I139*AE139</f>
        <v/>
      </c>
      <c r="AH139" s="10">
        <f>W139*AE139</f>
        <v/>
      </c>
      <c r="AI139" s="10">
        <f>X139*AE139</f>
        <v/>
      </c>
      <c r="AJ139" s="10">
        <f>Y139*AE139</f>
        <v/>
      </c>
      <c r="AK139" s="9">
        <f>IF(AND(T139=1,AD139&gt;0),1,0)</f>
        <v/>
      </c>
      <c r="AL139" s="10">
        <f>Z139*AK139</f>
        <v/>
      </c>
      <c r="AM139" s="10">
        <f>AA139*AK139</f>
        <v/>
      </c>
      <c r="AN139" s="9">
        <f>AD139*T139</f>
        <v/>
      </c>
      <c r="AO139" s="9">
        <f>S139*AK139</f>
        <v/>
      </c>
    </row>
    <row r="140">
      <c r="A140" s="9">
        <f>raw_reservations!A140</f>
        <v/>
      </c>
      <c r="B140" s="9">
        <f>raw_reservations!B140</f>
        <v/>
      </c>
      <c r="C140" s="24">
        <f>raw_reservations!C140</f>
        <v/>
      </c>
      <c r="D140" s="24">
        <f>raw_reservations!D140</f>
        <v/>
      </c>
      <c r="E140" s="9">
        <f>raw_reservations!E140</f>
        <v/>
      </c>
      <c r="F140" s="10">
        <f>raw_reservations!F140</f>
        <v/>
      </c>
      <c r="G140" s="9">
        <f>raw_reservations!G140</f>
        <v/>
      </c>
      <c r="H140" s="10">
        <f>raw_reservations!H140</f>
        <v/>
      </c>
      <c r="I140" s="10">
        <f>raw_reservations!I140</f>
        <v/>
      </c>
      <c r="J140" s="9">
        <f>raw_reservations!J140</f>
        <v/>
      </c>
      <c r="K140" s="9">
        <f>D140-C140</f>
        <v/>
      </c>
      <c r="L140" s="9">
        <f>IF(COUNTIF(A$2:A140,A140)&gt;1,1,0)</f>
        <v/>
      </c>
      <c r="M140" s="9">
        <f>IF(COUNTIF(properties!$A$2:$A$21,B140)=0,1,0)</f>
        <v/>
      </c>
      <c r="N140" s="9">
        <f>IF(M140=1,0,IF(G140&lt;&gt;INDEX(properties!$E$2:$E$21,MATCH(B140,properties!$A$2:$A$21,0)),1,0))</f>
        <v/>
      </c>
      <c r="O140" s="9">
        <f>IF(OR(I140&gt;F140,AND(E140&lt;&gt;"cancelled",I140&gt;0)),1,0)</f>
        <v/>
      </c>
      <c r="P140" s="9">
        <f>IF(H140&lt;0,1,0)</f>
        <v/>
      </c>
      <c r="Q140" s="9">
        <f>IF(L140+M140+N140+O140=0,1,0)</f>
        <v/>
      </c>
      <c r="R140" s="9">
        <f>IF(AND(Q140=1,E140&lt;&gt;"cancelled"),COUNTIFS($B$2:$B$152,B140,$Q$2:$Q$152,1,$E$2:$E$152,"&lt;&gt;cancelled",$C$2:$C$152,"&lt;"&amp;D140,$D$2:$D$152,"&gt;"&amp;C140)-1,0)</f>
        <v/>
      </c>
      <c r="S140" s="9">
        <f>IF(AND(Q140=1,OR(R140&gt;0,P140=1)),1,0)</f>
        <v/>
      </c>
      <c r="T140" s="9">
        <f>IF(Q140=0,0,IF(AND(S140=1,Dashboard!$C$7="Нет"),0,1))</f>
        <v/>
      </c>
      <c r="U140" s="9">
        <f>IF(L140=1,"Исключено: дубль",IF(M140=1,"Исключено: нет объекта",IF(N140=1,"Исключено: валюта",IF(O140=1,"Исключено: возврат/статус",IF(S140=1,"На проверке","OK")))))</f>
        <v/>
      </c>
      <c r="V140" s="25">
        <f>SUMIFS(commission_rules!$D$2:$D$21,commission_rules!$A$2:$A$21,B140,commission_rules!$B$2:$B$21,"&lt;="&amp;C140,commission_rules!$C$2:$C$21,"&gt;="&amp;C140)</f>
        <v/>
      </c>
      <c r="W140" s="10">
        <f>F140-I140</f>
        <v/>
      </c>
      <c r="X140" s="10">
        <f>IF(F140=0,0,H140*W140/F140)</f>
        <v/>
      </c>
      <c r="Y140" s="10">
        <f>V140*W140</f>
        <v/>
      </c>
      <c r="Z140" s="10">
        <f>W140-X140</f>
        <v/>
      </c>
      <c r="AA140" s="10">
        <f>SUMIFS(calc_payments!$N$2:$N$77,calc_payments!$B$2:$B$77,A140)</f>
        <v/>
      </c>
      <c r="AB140" s="10">
        <f>AA140-Z140</f>
        <v/>
      </c>
      <c r="AC140" s="9">
        <f>IF(T140=0,"",IF(AA140=0,IF(Z140=0,"нечего получать","нет платежа"),IF(ABS(AB140)&lt;1,"сходится","расхождение")))</f>
        <v/>
      </c>
      <c r="AD140" s="9">
        <f>MAX(0,MIN(D140,Dashboard!$C$6+1)-MAX(C140,Dashboard!$C$5))</f>
        <v/>
      </c>
      <c r="AE140" s="26">
        <f>IF(K140=0,0,AD140/K140)*T140</f>
        <v/>
      </c>
      <c r="AF140" s="10">
        <f>F140*AE140</f>
        <v/>
      </c>
      <c r="AG140" s="10">
        <f>I140*AE140</f>
        <v/>
      </c>
      <c r="AH140" s="10">
        <f>W140*AE140</f>
        <v/>
      </c>
      <c r="AI140" s="10">
        <f>X140*AE140</f>
        <v/>
      </c>
      <c r="AJ140" s="10">
        <f>Y140*AE140</f>
        <v/>
      </c>
      <c r="AK140" s="9">
        <f>IF(AND(T140=1,AD140&gt;0),1,0)</f>
        <v/>
      </c>
      <c r="AL140" s="10">
        <f>Z140*AK140</f>
        <v/>
      </c>
      <c r="AM140" s="10">
        <f>AA140*AK140</f>
        <v/>
      </c>
      <c r="AN140" s="9">
        <f>AD140*T140</f>
        <v/>
      </c>
      <c r="AO140" s="9">
        <f>S140*AK140</f>
        <v/>
      </c>
    </row>
    <row r="141">
      <c r="A141" s="9">
        <f>raw_reservations!A141</f>
        <v/>
      </c>
      <c r="B141" s="9">
        <f>raw_reservations!B141</f>
        <v/>
      </c>
      <c r="C141" s="24">
        <f>raw_reservations!C141</f>
        <v/>
      </c>
      <c r="D141" s="24">
        <f>raw_reservations!D141</f>
        <v/>
      </c>
      <c r="E141" s="9">
        <f>raw_reservations!E141</f>
        <v/>
      </c>
      <c r="F141" s="10">
        <f>raw_reservations!F141</f>
        <v/>
      </c>
      <c r="G141" s="9">
        <f>raw_reservations!G141</f>
        <v/>
      </c>
      <c r="H141" s="10">
        <f>raw_reservations!H141</f>
        <v/>
      </c>
      <c r="I141" s="10">
        <f>raw_reservations!I141</f>
        <v/>
      </c>
      <c r="J141" s="9">
        <f>raw_reservations!J141</f>
        <v/>
      </c>
      <c r="K141" s="9">
        <f>D141-C141</f>
        <v/>
      </c>
      <c r="L141" s="9">
        <f>IF(COUNTIF(A$2:A141,A141)&gt;1,1,0)</f>
        <v/>
      </c>
      <c r="M141" s="9">
        <f>IF(COUNTIF(properties!$A$2:$A$21,B141)=0,1,0)</f>
        <v/>
      </c>
      <c r="N141" s="9">
        <f>IF(M141=1,0,IF(G141&lt;&gt;INDEX(properties!$E$2:$E$21,MATCH(B141,properties!$A$2:$A$21,0)),1,0))</f>
        <v/>
      </c>
      <c r="O141" s="9">
        <f>IF(OR(I141&gt;F141,AND(E141&lt;&gt;"cancelled",I141&gt;0)),1,0)</f>
        <v/>
      </c>
      <c r="P141" s="9">
        <f>IF(H141&lt;0,1,0)</f>
        <v/>
      </c>
      <c r="Q141" s="9">
        <f>IF(L141+M141+N141+O141=0,1,0)</f>
        <v/>
      </c>
      <c r="R141" s="9">
        <f>IF(AND(Q141=1,E141&lt;&gt;"cancelled"),COUNTIFS($B$2:$B$152,B141,$Q$2:$Q$152,1,$E$2:$E$152,"&lt;&gt;cancelled",$C$2:$C$152,"&lt;"&amp;D141,$D$2:$D$152,"&gt;"&amp;C141)-1,0)</f>
        <v/>
      </c>
      <c r="S141" s="9">
        <f>IF(AND(Q141=1,OR(R141&gt;0,P141=1)),1,0)</f>
        <v/>
      </c>
      <c r="T141" s="9">
        <f>IF(Q141=0,0,IF(AND(S141=1,Dashboard!$C$7="Нет"),0,1))</f>
        <v/>
      </c>
      <c r="U141" s="9">
        <f>IF(L141=1,"Исключено: дубль",IF(M141=1,"Исключено: нет объекта",IF(N141=1,"Исключено: валюта",IF(O141=1,"Исключено: возврат/статус",IF(S141=1,"На проверке","OK")))))</f>
        <v/>
      </c>
      <c r="V141" s="25">
        <f>SUMIFS(commission_rules!$D$2:$D$21,commission_rules!$A$2:$A$21,B141,commission_rules!$B$2:$B$21,"&lt;="&amp;C141,commission_rules!$C$2:$C$21,"&gt;="&amp;C141)</f>
        <v/>
      </c>
      <c r="W141" s="10">
        <f>F141-I141</f>
        <v/>
      </c>
      <c r="X141" s="10">
        <f>IF(F141=0,0,H141*W141/F141)</f>
        <v/>
      </c>
      <c r="Y141" s="10">
        <f>V141*W141</f>
        <v/>
      </c>
      <c r="Z141" s="10">
        <f>W141-X141</f>
        <v/>
      </c>
      <c r="AA141" s="10">
        <f>SUMIFS(calc_payments!$N$2:$N$77,calc_payments!$B$2:$B$77,A141)</f>
        <v/>
      </c>
      <c r="AB141" s="10">
        <f>AA141-Z141</f>
        <v/>
      </c>
      <c r="AC141" s="9">
        <f>IF(T141=0,"",IF(AA141=0,IF(Z141=0,"нечего получать","нет платежа"),IF(ABS(AB141)&lt;1,"сходится","расхождение")))</f>
        <v/>
      </c>
      <c r="AD141" s="9">
        <f>MAX(0,MIN(D141,Dashboard!$C$6+1)-MAX(C141,Dashboard!$C$5))</f>
        <v/>
      </c>
      <c r="AE141" s="26">
        <f>IF(K141=0,0,AD141/K141)*T141</f>
        <v/>
      </c>
      <c r="AF141" s="10">
        <f>F141*AE141</f>
        <v/>
      </c>
      <c r="AG141" s="10">
        <f>I141*AE141</f>
        <v/>
      </c>
      <c r="AH141" s="10">
        <f>W141*AE141</f>
        <v/>
      </c>
      <c r="AI141" s="10">
        <f>X141*AE141</f>
        <v/>
      </c>
      <c r="AJ141" s="10">
        <f>Y141*AE141</f>
        <v/>
      </c>
      <c r="AK141" s="9">
        <f>IF(AND(T141=1,AD141&gt;0),1,0)</f>
        <v/>
      </c>
      <c r="AL141" s="10">
        <f>Z141*AK141</f>
        <v/>
      </c>
      <c r="AM141" s="10">
        <f>AA141*AK141</f>
        <v/>
      </c>
      <c r="AN141" s="9">
        <f>AD141*T141</f>
        <v/>
      </c>
      <c r="AO141" s="9">
        <f>S141*AK141</f>
        <v/>
      </c>
    </row>
    <row r="142">
      <c r="A142" s="9">
        <f>raw_reservations!A142</f>
        <v/>
      </c>
      <c r="B142" s="9">
        <f>raw_reservations!B142</f>
        <v/>
      </c>
      <c r="C142" s="24">
        <f>raw_reservations!C142</f>
        <v/>
      </c>
      <c r="D142" s="24">
        <f>raw_reservations!D142</f>
        <v/>
      </c>
      <c r="E142" s="9">
        <f>raw_reservations!E142</f>
        <v/>
      </c>
      <c r="F142" s="10">
        <f>raw_reservations!F142</f>
        <v/>
      </c>
      <c r="G142" s="9">
        <f>raw_reservations!G142</f>
        <v/>
      </c>
      <c r="H142" s="10">
        <f>raw_reservations!H142</f>
        <v/>
      </c>
      <c r="I142" s="10">
        <f>raw_reservations!I142</f>
        <v/>
      </c>
      <c r="J142" s="9">
        <f>raw_reservations!J142</f>
        <v/>
      </c>
      <c r="K142" s="9">
        <f>D142-C142</f>
        <v/>
      </c>
      <c r="L142" s="9">
        <f>IF(COUNTIF(A$2:A142,A142)&gt;1,1,0)</f>
        <v/>
      </c>
      <c r="M142" s="9">
        <f>IF(COUNTIF(properties!$A$2:$A$21,B142)=0,1,0)</f>
        <v/>
      </c>
      <c r="N142" s="9">
        <f>IF(M142=1,0,IF(G142&lt;&gt;INDEX(properties!$E$2:$E$21,MATCH(B142,properties!$A$2:$A$21,0)),1,0))</f>
        <v/>
      </c>
      <c r="O142" s="9">
        <f>IF(OR(I142&gt;F142,AND(E142&lt;&gt;"cancelled",I142&gt;0)),1,0)</f>
        <v/>
      </c>
      <c r="P142" s="9">
        <f>IF(H142&lt;0,1,0)</f>
        <v/>
      </c>
      <c r="Q142" s="9">
        <f>IF(L142+M142+N142+O142=0,1,0)</f>
        <v/>
      </c>
      <c r="R142" s="9">
        <f>IF(AND(Q142=1,E142&lt;&gt;"cancelled"),COUNTIFS($B$2:$B$152,B142,$Q$2:$Q$152,1,$E$2:$E$152,"&lt;&gt;cancelled",$C$2:$C$152,"&lt;"&amp;D142,$D$2:$D$152,"&gt;"&amp;C142)-1,0)</f>
        <v/>
      </c>
      <c r="S142" s="9">
        <f>IF(AND(Q142=1,OR(R142&gt;0,P142=1)),1,0)</f>
        <v/>
      </c>
      <c r="T142" s="9">
        <f>IF(Q142=0,0,IF(AND(S142=1,Dashboard!$C$7="Нет"),0,1))</f>
        <v/>
      </c>
      <c r="U142" s="9">
        <f>IF(L142=1,"Исключено: дубль",IF(M142=1,"Исключено: нет объекта",IF(N142=1,"Исключено: валюта",IF(O142=1,"Исключено: возврат/статус",IF(S142=1,"На проверке","OK")))))</f>
        <v/>
      </c>
      <c r="V142" s="25">
        <f>SUMIFS(commission_rules!$D$2:$D$21,commission_rules!$A$2:$A$21,B142,commission_rules!$B$2:$B$21,"&lt;="&amp;C142,commission_rules!$C$2:$C$21,"&gt;="&amp;C142)</f>
        <v/>
      </c>
      <c r="W142" s="10">
        <f>F142-I142</f>
        <v/>
      </c>
      <c r="X142" s="10">
        <f>IF(F142=0,0,H142*W142/F142)</f>
        <v/>
      </c>
      <c r="Y142" s="10">
        <f>V142*W142</f>
        <v/>
      </c>
      <c r="Z142" s="10">
        <f>W142-X142</f>
        <v/>
      </c>
      <c r="AA142" s="10">
        <f>SUMIFS(calc_payments!$N$2:$N$77,calc_payments!$B$2:$B$77,A142)</f>
        <v/>
      </c>
      <c r="AB142" s="10">
        <f>AA142-Z142</f>
        <v/>
      </c>
      <c r="AC142" s="9">
        <f>IF(T142=0,"",IF(AA142=0,IF(Z142=0,"нечего получать","нет платежа"),IF(ABS(AB142)&lt;1,"сходится","расхождение")))</f>
        <v/>
      </c>
      <c r="AD142" s="9">
        <f>MAX(0,MIN(D142,Dashboard!$C$6+1)-MAX(C142,Dashboard!$C$5))</f>
        <v/>
      </c>
      <c r="AE142" s="26">
        <f>IF(K142=0,0,AD142/K142)*T142</f>
        <v/>
      </c>
      <c r="AF142" s="10">
        <f>F142*AE142</f>
        <v/>
      </c>
      <c r="AG142" s="10">
        <f>I142*AE142</f>
        <v/>
      </c>
      <c r="AH142" s="10">
        <f>W142*AE142</f>
        <v/>
      </c>
      <c r="AI142" s="10">
        <f>X142*AE142</f>
        <v/>
      </c>
      <c r="AJ142" s="10">
        <f>Y142*AE142</f>
        <v/>
      </c>
      <c r="AK142" s="9">
        <f>IF(AND(T142=1,AD142&gt;0),1,0)</f>
        <v/>
      </c>
      <c r="AL142" s="10">
        <f>Z142*AK142</f>
        <v/>
      </c>
      <c r="AM142" s="10">
        <f>AA142*AK142</f>
        <v/>
      </c>
      <c r="AN142" s="9">
        <f>AD142*T142</f>
        <v/>
      </c>
      <c r="AO142" s="9">
        <f>S142*AK142</f>
        <v/>
      </c>
    </row>
    <row r="143">
      <c r="A143" s="9">
        <f>raw_reservations!A143</f>
        <v/>
      </c>
      <c r="B143" s="9">
        <f>raw_reservations!B143</f>
        <v/>
      </c>
      <c r="C143" s="24">
        <f>raw_reservations!C143</f>
        <v/>
      </c>
      <c r="D143" s="24">
        <f>raw_reservations!D143</f>
        <v/>
      </c>
      <c r="E143" s="9">
        <f>raw_reservations!E143</f>
        <v/>
      </c>
      <c r="F143" s="10">
        <f>raw_reservations!F143</f>
        <v/>
      </c>
      <c r="G143" s="9">
        <f>raw_reservations!G143</f>
        <v/>
      </c>
      <c r="H143" s="10">
        <f>raw_reservations!H143</f>
        <v/>
      </c>
      <c r="I143" s="10">
        <f>raw_reservations!I143</f>
        <v/>
      </c>
      <c r="J143" s="9">
        <f>raw_reservations!J143</f>
        <v/>
      </c>
      <c r="K143" s="9">
        <f>D143-C143</f>
        <v/>
      </c>
      <c r="L143" s="9">
        <f>IF(COUNTIF(A$2:A143,A143)&gt;1,1,0)</f>
        <v/>
      </c>
      <c r="M143" s="9">
        <f>IF(COUNTIF(properties!$A$2:$A$21,B143)=0,1,0)</f>
        <v/>
      </c>
      <c r="N143" s="9">
        <f>IF(M143=1,0,IF(G143&lt;&gt;INDEX(properties!$E$2:$E$21,MATCH(B143,properties!$A$2:$A$21,0)),1,0))</f>
        <v/>
      </c>
      <c r="O143" s="9">
        <f>IF(OR(I143&gt;F143,AND(E143&lt;&gt;"cancelled",I143&gt;0)),1,0)</f>
        <v/>
      </c>
      <c r="P143" s="9">
        <f>IF(H143&lt;0,1,0)</f>
        <v/>
      </c>
      <c r="Q143" s="9">
        <f>IF(L143+M143+N143+O143=0,1,0)</f>
        <v/>
      </c>
      <c r="R143" s="9">
        <f>IF(AND(Q143=1,E143&lt;&gt;"cancelled"),COUNTIFS($B$2:$B$152,B143,$Q$2:$Q$152,1,$E$2:$E$152,"&lt;&gt;cancelled",$C$2:$C$152,"&lt;"&amp;D143,$D$2:$D$152,"&gt;"&amp;C143)-1,0)</f>
        <v/>
      </c>
      <c r="S143" s="9">
        <f>IF(AND(Q143=1,OR(R143&gt;0,P143=1)),1,0)</f>
        <v/>
      </c>
      <c r="T143" s="9">
        <f>IF(Q143=0,0,IF(AND(S143=1,Dashboard!$C$7="Нет"),0,1))</f>
        <v/>
      </c>
      <c r="U143" s="9">
        <f>IF(L143=1,"Исключено: дубль",IF(M143=1,"Исключено: нет объекта",IF(N143=1,"Исключено: валюта",IF(O143=1,"Исключено: возврат/статус",IF(S143=1,"На проверке","OK")))))</f>
        <v/>
      </c>
      <c r="V143" s="25">
        <f>SUMIFS(commission_rules!$D$2:$D$21,commission_rules!$A$2:$A$21,B143,commission_rules!$B$2:$B$21,"&lt;="&amp;C143,commission_rules!$C$2:$C$21,"&gt;="&amp;C143)</f>
        <v/>
      </c>
      <c r="W143" s="10">
        <f>F143-I143</f>
        <v/>
      </c>
      <c r="X143" s="10">
        <f>IF(F143=0,0,H143*W143/F143)</f>
        <v/>
      </c>
      <c r="Y143" s="10">
        <f>V143*W143</f>
        <v/>
      </c>
      <c r="Z143" s="10">
        <f>W143-X143</f>
        <v/>
      </c>
      <c r="AA143" s="10">
        <f>SUMIFS(calc_payments!$N$2:$N$77,calc_payments!$B$2:$B$77,A143)</f>
        <v/>
      </c>
      <c r="AB143" s="10">
        <f>AA143-Z143</f>
        <v/>
      </c>
      <c r="AC143" s="9">
        <f>IF(T143=0,"",IF(AA143=0,IF(Z143=0,"нечего получать","нет платежа"),IF(ABS(AB143)&lt;1,"сходится","расхождение")))</f>
        <v/>
      </c>
      <c r="AD143" s="9">
        <f>MAX(0,MIN(D143,Dashboard!$C$6+1)-MAX(C143,Dashboard!$C$5))</f>
        <v/>
      </c>
      <c r="AE143" s="26">
        <f>IF(K143=0,0,AD143/K143)*T143</f>
        <v/>
      </c>
      <c r="AF143" s="10">
        <f>F143*AE143</f>
        <v/>
      </c>
      <c r="AG143" s="10">
        <f>I143*AE143</f>
        <v/>
      </c>
      <c r="AH143" s="10">
        <f>W143*AE143</f>
        <v/>
      </c>
      <c r="AI143" s="10">
        <f>X143*AE143</f>
        <v/>
      </c>
      <c r="AJ143" s="10">
        <f>Y143*AE143</f>
        <v/>
      </c>
      <c r="AK143" s="9">
        <f>IF(AND(T143=1,AD143&gt;0),1,0)</f>
        <v/>
      </c>
      <c r="AL143" s="10">
        <f>Z143*AK143</f>
        <v/>
      </c>
      <c r="AM143" s="10">
        <f>AA143*AK143</f>
        <v/>
      </c>
      <c r="AN143" s="9">
        <f>AD143*T143</f>
        <v/>
      </c>
      <c r="AO143" s="9">
        <f>S143*AK143</f>
        <v/>
      </c>
    </row>
    <row r="144">
      <c r="A144" s="9">
        <f>raw_reservations!A144</f>
        <v/>
      </c>
      <c r="B144" s="9">
        <f>raw_reservations!B144</f>
        <v/>
      </c>
      <c r="C144" s="24">
        <f>raw_reservations!C144</f>
        <v/>
      </c>
      <c r="D144" s="24">
        <f>raw_reservations!D144</f>
        <v/>
      </c>
      <c r="E144" s="9">
        <f>raw_reservations!E144</f>
        <v/>
      </c>
      <c r="F144" s="10">
        <f>raw_reservations!F144</f>
        <v/>
      </c>
      <c r="G144" s="9">
        <f>raw_reservations!G144</f>
        <v/>
      </c>
      <c r="H144" s="10">
        <f>raw_reservations!H144</f>
        <v/>
      </c>
      <c r="I144" s="10">
        <f>raw_reservations!I144</f>
        <v/>
      </c>
      <c r="J144" s="9">
        <f>raw_reservations!J144</f>
        <v/>
      </c>
      <c r="K144" s="9">
        <f>D144-C144</f>
        <v/>
      </c>
      <c r="L144" s="9">
        <f>IF(COUNTIF(A$2:A144,A144)&gt;1,1,0)</f>
        <v/>
      </c>
      <c r="M144" s="9">
        <f>IF(COUNTIF(properties!$A$2:$A$21,B144)=0,1,0)</f>
        <v/>
      </c>
      <c r="N144" s="9">
        <f>IF(M144=1,0,IF(G144&lt;&gt;INDEX(properties!$E$2:$E$21,MATCH(B144,properties!$A$2:$A$21,0)),1,0))</f>
        <v/>
      </c>
      <c r="O144" s="9">
        <f>IF(OR(I144&gt;F144,AND(E144&lt;&gt;"cancelled",I144&gt;0)),1,0)</f>
        <v/>
      </c>
      <c r="P144" s="9">
        <f>IF(H144&lt;0,1,0)</f>
        <v/>
      </c>
      <c r="Q144" s="9">
        <f>IF(L144+M144+N144+O144=0,1,0)</f>
        <v/>
      </c>
      <c r="R144" s="9">
        <f>IF(AND(Q144=1,E144&lt;&gt;"cancelled"),COUNTIFS($B$2:$B$152,B144,$Q$2:$Q$152,1,$E$2:$E$152,"&lt;&gt;cancelled",$C$2:$C$152,"&lt;"&amp;D144,$D$2:$D$152,"&gt;"&amp;C144)-1,0)</f>
        <v/>
      </c>
      <c r="S144" s="9">
        <f>IF(AND(Q144=1,OR(R144&gt;0,P144=1)),1,0)</f>
        <v/>
      </c>
      <c r="T144" s="9">
        <f>IF(Q144=0,0,IF(AND(S144=1,Dashboard!$C$7="Нет"),0,1))</f>
        <v/>
      </c>
      <c r="U144" s="9">
        <f>IF(L144=1,"Исключено: дубль",IF(M144=1,"Исключено: нет объекта",IF(N144=1,"Исключено: валюта",IF(O144=1,"Исключено: возврат/статус",IF(S144=1,"На проверке","OK")))))</f>
        <v/>
      </c>
      <c r="V144" s="25">
        <f>SUMIFS(commission_rules!$D$2:$D$21,commission_rules!$A$2:$A$21,B144,commission_rules!$B$2:$B$21,"&lt;="&amp;C144,commission_rules!$C$2:$C$21,"&gt;="&amp;C144)</f>
        <v/>
      </c>
      <c r="W144" s="10">
        <f>F144-I144</f>
        <v/>
      </c>
      <c r="X144" s="10">
        <f>IF(F144=0,0,H144*W144/F144)</f>
        <v/>
      </c>
      <c r="Y144" s="10">
        <f>V144*W144</f>
        <v/>
      </c>
      <c r="Z144" s="10">
        <f>W144-X144</f>
        <v/>
      </c>
      <c r="AA144" s="10">
        <f>SUMIFS(calc_payments!$N$2:$N$77,calc_payments!$B$2:$B$77,A144)</f>
        <v/>
      </c>
      <c r="AB144" s="10">
        <f>AA144-Z144</f>
        <v/>
      </c>
      <c r="AC144" s="9">
        <f>IF(T144=0,"",IF(AA144=0,IF(Z144=0,"нечего получать","нет платежа"),IF(ABS(AB144)&lt;1,"сходится","расхождение")))</f>
        <v/>
      </c>
      <c r="AD144" s="9">
        <f>MAX(0,MIN(D144,Dashboard!$C$6+1)-MAX(C144,Dashboard!$C$5))</f>
        <v/>
      </c>
      <c r="AE144" s="26">
        <f>IF(K144=0,0,AD144/K144)*T144</f>
        <v/>
      </c>
      <c r="AF144" s="10">
        <f>F144*AE144</f>
        <v/>
      </c>
      <c r="AG144" s="10">
        <f>I144*AE144</f>
        <v/>
      </c>
      <c r="AH144" s="10">
        <f>W144*AE144</f>
        <v/>
      </c>
      <c r="AI144" s="10">
        <f>X144*AE144</f>
        <v/>
      </c>
      <c r="AJ144" s="10">
        <f>Y144*AE144</f>
        <v/>
      </c>
      <c r="AK144" s="9">
        <f>IF(AND(T144=1,AD144&gt;0),1,0)</f>
        <v/>
      </c>
      <c r="AL144" s="10">
        <f>Z144*AK144</f>
        <v/>
      </c>
      <c r="AM144" s="10">
        <f>AA144*AK144</f>
        <v/>
      </c>
      <c r="AN144" s="9">
        <f>AD144*T144</f>
        <v/>
      </c>
      <c r="AO144" s="9">
        <f>S144*AK144</f>
        <v/>
      </c>
    </row>
    <row r="145">
      <c r="A145" s="9">
        <f>raw_reservations!A145</f>
        <v/>
      </c>
      <c r="B145" s="9">
        <f>raw_reservations!B145</f>
        <v/>
      </c>
      <c r="C145" s="24">
        <f>raw_reservations!C145</f>
        <v/>
      </c>
      <c r="D145" s="24">
        <f>raw_reservations!D145</f>
        <v/>
      </c>
      <c r="E145" s="9">
        <f>raw_reservations!E145</f>
        <v/>
      </c>
      <c r="F145" s="10">
        <f>raw_reservations!F145</f>
        <v/>
      </c>
      <c r="G145" s="9">
        <f>raw_reservations!G145</f>
        <v/>
      </c>
      <c r="H145" s="10">
        <f>raw_reservations!H145</f>
        <v/>
      </c>
      <c r="I145" s="10">
        <f>raw_reservations!I145</f>
        <v/>
      </c>
      <c r="J145" s="9">
        <f>raw_reservations!J145</f>
        <v/>
      </c>
      <c r="K145" s="9">
        <f>D145-C145</f>
        <v/>
      </c>
      <c r="L145" s="9">
        <f>IF(COUNTIF(A$2:A145,A145)&gt;1,1,0)</f>
        <v/>
      </c>
      <c r="M145" s="9">
        <f>IF(COUNTIF(properties!$A$2:$A$21,B145)=0,1,0)</f>
        <v/>
      </c>
      <c r="N145" s="9">
        <f>IF(M145=1,0,IF(G145&lt;&gt;INDEX(properties!$E$2:$E$21,MATCH(B145,properties!$A$2:$A$21,0)),1,0))</f>
        <v/>
      </c>
      <c r="O145" s="9">
        <f>IF(OR(I145&gt;F145,AND(E145&lt;&gt;"cancelled",I145&gt;0)),1,0)</f>
        <v/>
      </c>
      <c r="P145" s="9">
        <f>IF(H145&lt;0,1,0)</f>
        <v/>
      </c>
      <c r="Q145" s="9">
        <f>IF(L145+M145+N145+O145=0,1,0)</f>
        <v/>
      </c>
      <c r="R145" s="9">
        <f>IF(AND(Q145=1,E145&lt;&gt;"cancelled"),COUNTIFS($B$2:$B$152,B145,$Q$2:$Q$152,1,$E$2:$E$152,"&lt;&gt;cancelled",$C$2:$C$152,"&lt;"&amp;D145,$D$2:$D$152,"&gt;"&amp;C145)-1,0)</f>
        <v/>
      </c>
      <c r="S145" s="9">
        <f>IF(AND(Q145=1,OR(R145&gt;0,P145=1)),1,0)</f>
        <v/>
      </c>
      <c r="T145" s="9">
        <f>IF(Q145=0,0,IF(AND(S145=1,Dashboard!$C$7="Нет"),0,1))</f>
        <v/>
      </c>
      <c r="U145" s="9">
        <f>IF(L145=1,"Исключено: дубль",IF(M145=1,"Исключено: нет объекта",IF(N145=1,"Исключено: валюта",IF(O145=1,"Исключено: возврат/статус",IF(S145=1,"На проверке","OK")))))</f>
        <v/>
      </c>
      <c r="V145" s="25">
        <f>SUMIFS(commission_rules!$D$2:$D$21,commission_rules!$A$2:$A$21,B145,commission_rules!$B$2:$B$21,"&lt;="&amp;C145,commission_rules!$C$2:$C$21,"&gt;="&amp;C145)</f>
        <v/>
      </c>
      <c r="W145" s="10">
        <f>F145-I145</f>
        <v/>
      </c>
      <c r="X145" s="10">
        <f>IF(F145=0,0,H145*W145/F145)</f>
        <v/>
      </c>
      <c r="Y145" s="10">
        <f>V145*W145</f>
        <v/>
      </c>
      <c r="Z145" s="10">
        <f>W145-X145</f>
        <v/>
      </c>
      <c r="AA145" s="10">
        <f>SUMIFS(calc_payments!$N$2:$N$77,calc_payments!$B$2:$B$77,A145)</f>
        <v/>
      </c>
      <c r="AB145" s="10">
        <f>AA145-Z145</f>
        <v/>
      </c>
      <c r="AC145" s="9">
        <f>IF(T145=0,"",IF(AA145=0,IF(Z145=0,"нечего получать","нет платежа"),IF(ABS(AB145)&lt;1,"сходится","расхождение")))</f>
        <v/>
      </c>
      <c r="AD145" s="9">
        <f>MAX(0,MIN(D145,Dashboard!$C$6+1)-MAX(C145,Dashboard!$C$5))</f>
        <v/>
      </c>
      <c r="AE145" s="26">
        <f>IF(K145=0,0,AD145/K145)*T145</f>
        <v/>
      </c>
      <c r="AF145" s="10">
        <f>F145*AE145</f>
        <v/>
      </c>
      <c r="AG145" s="10">
        <f>I145*AE145</f>
        <v/>
      </c>
      <c r="AH145" s="10">
        <f>W145*AE145</f>
        <v/>
      </c>
      <c r="AI145" s="10">
        <f>X145*AE145</f>
        <v/>
      </c>
      <c r="AJ145" s="10">
        <f>Y145*AE145</f>
        <v/>
      </c>
      <c r="AK145" s="9">
        <f>IF(AND(T145=1,AD145&gt;0),1,0)</f>
        <v/>
      </c>
      <c r="AL145" s="10">
        <f>Z145*AK145</f>
        <v/>
      </c>
      <c r="AM145" s="10">
        <f>AA145*AK145</f>
        <v/>
      </c>
      <c r="AN145" s="9">
        <f>AD145*T145</f>
        <v/>
      </c>
      <c r="AO145" s="9">
        <f>S145*AK145</f>
        <v/>
      </c>
    </row>
    <row r="146">
      <c r="A146" s="9">
        <f>raw_reservations!A146</f>
        <v/>
      </c>
      <c r="B146" s="9">
        <f>raw_reservations!B146</f>
        <v/>
      </c>
      <c r="C146" s="24">
        <f>raw_reservations!C146</f>
        <v/>
      </c>
      <c r="D146" s="24">
        <f>raw_reservations!D146</f>
        <v/>
      </c>
      <c r="E146" s="9">
        <f>raw_reservations!E146</f>
        <v/>
      </c>
      <c r="F146" s="10">
        <f>raw_reservations!F146</f>
        <v/>
      </c>
      <c r="G146" s="9">
        <f>raw_reservations!G146</f>
        <v/>
      </c>
      <c r="H146" s="10">
        <f>raw_reservations!H146</f>
        <v/>
      </c>
      <c r="I146" s="10">
        <f>raw_reservations!I146</f>
        <v/>
      </c>
      <c r="J146" s="9">
        <f>raw_reservations!J146</f>
        <v/>
      </c>
      <c r="K146" s="9">
        <f>D146-C146</f>
        <v/>
      </c>
      <c r="L146" s="9">
        <f>IF(COUNTIF(A$2:A146,A146)&gt;1,1,0)</f>
        <v/>
      </c>
      <c r="M146" s="9">
        <f>IF(COUNTIF(properties!$A$2:$A$21,B146)=0,1,0)</f>
        <v/>
      </c>
      <c r="N146" s="9">
        <f>IF(M146=1,0,IF(G146&lt;&gt;INDEX(properties!$E$2:$E$21,MATCH(B146,properties!$A$2:$A$21,0)),1,0))</f>
        <v/>
      </c>
      <c r="O146" s="9">
        <f>IF(OR(I146&gt;F146,AND(E146&lt;&gt;"cancelled",I146&gt;0)),1,0)</f>
        <v/>
      </c>
      <c r="P146" s="9">
        <f>IF(H146&lt;0,1,0)</f>
        <v/>
      </c>
      <c r="Q146" s="9">
        <f>IF(L146+M146+N146+O146=0,1,0)</f>
        <v/>
      </c>
      <c r="R146" s="9">
        <f>IF(AND(Q146=1,E146&lt;&gt;"cancelled"),COUNTIFS($B$2:$B$152,B146,$Q$2:$Q$152,1,$E$2:$E$152,"&lt;&gt;cancelled",$C$2:$C$152,"&lt;"&amp;D146,$D$2:$D$152,"&gt;"&amp;C146)-1,0)</f>
        <v/>
      </c>
      <c r="S146" s="9">
        <f>IF(AND(Q146=1,OR(R146&gt;0,P146=1)),1,0)</f>
        <v/>
      </c>
      <c r="T146" s="9">
        <f>IF(Q146=0,0,IF(AND(S146=1,Dashboard!$C$7="Нет"),0,1))</f>
        <v/>
      </c>
      <c r="U146" s="9">
        <f>IF(L146=1,"Исключено: дубль",IF(M146=1,"Исключено: нет объекта",IF(N146=1,"Исключено: валюта",IF(O146=1,"Исключено: возврат/статус",IF(S146=1,"На проверке","OK")))))</f>
        <v/>
      </c>
      <c r="V146" s="25">
        <f>SUMIFS(commission_rules!$D$2:$D$21,commission_rules!$A$2:$A$21,B146,commission_rules!$B$2:$B$21,"&lt;="&amp;C146,commission_rules!$C$2:$C$21,"&gt;="&amp;C146)</f>
        <v/>
      </c>
      <c r="W146" s="10">
        <f>F146-I146</f>
        <v/>
      </c>
      <c r="X146" s="10">
        <f>IF(F146=0,0,H146*W146/F146)</f>
        <v/>
      </c>
      <c r="Y146" s="10">
        <f>V146*W146</f>
        <v/>
      </c>
      <c r="Z146" s="10">
        <f>W146-X146</f>
        <v/>
      </c>
      <c r="AA146" s="10">
        <f>SUMIFS(calc_payments!$N$2:$N$77,calc_payments!$B$2:$B$77,A146)</f>
        <v/>
      </c>
      <c r="AB146" s="10">
        <f>AA146-Z146</f>
        <v/>
      </c>
      <c r="AC146" s="9">
        <f>IF(T146=0,"",IF(AA146=0,IF(Z146=0,"нечего получать","нет платежа"),IF(ABS(AB146)&lt;1,"сходится","расхождение")))</f>
        <v/>
      </c>
      <c r="AD146" s="9">
        <f>MAX(0,MIN(D146,Dashboard!$C$6+1)-MAX(C146,Dashboard!$C$5))</f>
        <v/>
      </c>
      <c r="AE146" s="26">
        <f>IF(K146=0,0,AD146/K146)*T146</f>
        <v/>
      </c>
      <c r="AF146" s="10">
        <f>F146*AE146</f>
        <v/>
      </c>
      <c r="AG146" s="10">
        <f>I146*AE146</f>
        <v/>
      </c>
      <c r="AH146" s="10">
        <f>W146*AE146</f>
        <v/>
      </c>
      <c r="AI146" s="10">
        <f>X146*AE146</f>
        <v/>
      </c>
      <c r="AJ146" s="10">
        <f>Y146*AE146</f>
        <v/>
      </c>
      <c r="AK146" s="9">
        <f>IF(AND(T146=1,AD146&gt;0),1,0)</f>
        <v/>
      </c>
      <c r="AL146" s="10">
        <f>Z146*AK146</f>
        <v/>
      </c>
      <c r="AM146" s="10">
        <f>AA146*AK146</f>
        <v/>
      </c>
      <c r="AN146" s="9">
        <f>AD146*T146</f>
        <v/>
      </c>
      <c r="AO146" s="9">
        <f>S146*AK146</f>
        <v/>
      </c>
    </row>
    <row r="147">
      <c r="A147" s="9">
        <f>raw_reservations!A147</f>
        <v/>
      </c>
      <c r="B147" s="9">
        <f>raw_reservations!B147</f>
        <v/>
      </c>
      <c r="C147" s="24">
        <f>raw_reservations!C147</f>
        <v/>
      </c>
      <c r="D147" s="24">
        <f>raw_reservations!D147</f>
        <v/>
      </c>
      <c r="E147" s="9">
        <f>raw_reservations!E147</f>
        <v/>
      </c>
      <c r="F147" s="10">
        <f>raw_reservations!F147</f>
        <v/>
      </c>
      <c r="G147" s="9">
        <f>raw_reservations!G147</f>
        <v/>
      </c>
      <c r="H147" s="10">
        <f>raw_reservations!H147</f>
        <v/>
      </c>
      <c r="I147" s="10">
        <f>raw_reservations!I147</f>
        <v/>
      </c>
      <c r="J147" s="9">
        <f>raw_reservations!J147</f>
        <v/>
      </c>
      <c r="K147" s="9">
        <f>D147-C147</f>
        <v/>
      </c>
      <c r="L147" s="9">
        <f>IF(COUNTIF(A$2:A147,A147)&gt;1,1,0)</f>
        <v/>
      </c>
      <c r="M147" s="9">
        <f>IF(COUNTIF(properties!$A$2:$A$21,B147)=0,1,0)</f>
        <v/>
      </c>
      <c r="N147" s="9">
        <f>IF(M147=1,0,IF(G147&lt;&gt;INDEX(properties!$E$2:$E$21,MATCH(B147,properties!$A$2:$A$21,0)),1,0))</f>
        <v/>
      </c>
      <c r="O147" s="9">
        <f>IF(OR(I147&gt;F147,AND(E147&lt;&gt;"cancelled",I147&gt;0)),1,0)</f>
        <v/>
      </c>
      <c r="P147" s="9">
        <f>IF(H147&lt;0,1,0)</f>
        <v/>
      </c>
      <c r="Q147" s="9">
        <f>IF(L147+M147+N147+O147=0,1,0)</f>
        <v/>
      </c>
      <c r="R147" s="9">
        <f>IF(AND(Q147=1,E147&lt;&gt;"cancelled"),COUNTIFS($B$2:$B$152,B147,$Q$2:$Q$152,1,$E$2:$E$152,"&lt;&gt;cancelled",$C$2:$C$152,"&lt;"&amp;D147,$D$2:$D$152,"&gt;"&amp;C147)-1,0)</f>
        <v/>
      </c>
      <c r="S147" s="9">
        <f>IF(AND(Q147=1,OR(R147&gt;0,P147=1)),1,0)</f>
        <v/>
      </c>
      <c r="T147" s="9">
        <f>IF(Q147=0,0,IF(AND(S147=1,Dashboard!$C$7="Нет"),0,1))</f>
        <v/>
      </c>
      <c r="U147" s="9">
        <f>IF(L147=1,"Исключено: дубль",IF(M147=1,"Исключено: нет объекта",IF(N147=1,"Исключено: валюта",IF(O147=1,"Исключено: возврат/статус",IF(S147=1,"На проверке","OK")))))</f>
        <v/>
      </c>
      <c r="V147" s="25">
        <f>SUMIFS(commission_rules!$D$2:$D$21,commission_rules!$A$2:$A$21,B147,commission_rules!$B$2:$B$21,"&lt;="&amp;C147,commission_rules!$C$2:$C$21,"&gt;="&amp;C147)</f>
        <v/>
      </c>
      <c r="W147" s="10">
        <f>F147-I147</f>
        <v/>
      </c>
      <c r="X147" s="10">
        <f>IF(F147=0,0,H147*W147/F147)</f>
        <v/>
      </c>
      <c r="Y147" s="10">
        <f>V147*W147</f>
        <v/>
      </c>
      <c r="Z147" s="10">
        <f>W147-X147</f>
        <v/>
      </c>
      <c r="AA147" s="10">
        <f>SUMIFS(calc_payments!$N$2:$N$77,calc_payments!$B$2:$B$77,A147)</f>
        <v/>
      </c>
      <c r="AB147" s="10">
        <f>AA147-Z147</f>
        <v/>
      </c>
      <c r="AC147" s="9">
        <f>IF(T147=0,"",IF(AA147=0,IF(Z147=0,"нечего получать","нет платежа"),IF(ABS(AB147)&lt;1,"сходится","расхождение")))</f>
        <v/>
      </c>
      <c r="AD147" s="9">
        <f>MAX(0,MIN(D147,Dashboard!$C$6+1)-MAX(C147,Dashboard!$C$5))</f>
        <v/>
      </c>
      <c r="AE147" s="26">
        <f>IF(K147=0,0,AD147/K147)*T147</f>
        <v/>
      </c>
      <c r="AF147" s="10">
        <f>F147*AE147</f>
        <v/>
      </c>
      <c r="AG147" s="10">
        <f>I147*AE147</f>
        <v/>
      </c>
      <c r="AH147" s="10">
        <f>W147*AE147</f>
        <v/>
      </c>
      <c r="AI147" s="10">
        <f>X147*AE147</f>
        <v/>
      </c>
      <c r="AJ147" s="10">
        <f>Y147*AE147</f>
        <v/>
      </c>
      <c r="AK147" s="9">
        <f>IF(AND(T147=1,AD147&gt;0),1,0)</f>
        <v/>
      </c>
      <c r="AL147" s="10">
        <f>Z147*AK147</f>
        <v/>
      </c>
      <c r="AM147" s="10">
        <f>AA147*AK147</f>
        <v/>
      </c>
      <c r="AN147" s="9">
        <f>AD147*T147</f>
        <v/>
      </c>
      <c r="AO147" s="9">
        <f>S147*AK147</f>
        <v/>
      </c>
    </row>
    <row r="148">
      <c r="A148" s="9">
        <f>raw_reservations!A148</f>
        <v/>
      </c>
      <c r="B148" s="9">
        <f>raw_reservations!B148</f>
        <v/>
      </c>
      <c r="C148" s="24">
        <f>raw_reservations!C148</f>
        <v/>
      </c>
      <c r="D148" s="24">
        <f>raw_reservations!D148</f>
        <v/>
      </c>
      <c r="E148" s="9">
        <f>raw_reservations!E148</f>
        <v/>
      </c>
      <c r="F148" s="10">
        <f>raw_reservations!F148</f>
        <v/>
      </c>
      <c r="G148" s="9">
        <f>raw_reservations!G148</f>
        <v/>
      </c>
      <c r="H148" s="10">
        <f>raw_reservations!H148</f>
        <v/>
      </c>
      <c r="I148" s="10">
        <f>raw_reservations!I148</f>
        <v/>
      </c>
      <c r="J148" s="9">
        <f>raw_reservations!J148</f>
        <v/>
      </c>
      <c r="K148" s="9">
        <f>D148-C148</f>
        <v/>
      </c>
      <c r="L148" s="9">
        <f>IF(COUNTIF(A$2:A148,A148)&gt;1,1,0)</f>
        <v/>
      </c>
      <c r="M148" s="9">
        <f>IF(COUNTIF(properties!$A$2:$A$21,B148)=0,1,0)</f>
        <v/>
      </c>
      <c r="N148" s="9">
        <f>IF(M148=1,0,IF(G148&lt;&gt;INDEX(properties!$E$2:$E$21,MATCH(B148,properties!$A$2:$A$21,0)),1,0))</f>
        <v/>
      </c>
      <c r="O148" s="9">
        <f>IF(OR(I148&gt;F148,AND(E148&lt;&gt;"cancelled",I148&gt;0)),1,0)</f>
        <v/>
      </c>
      <c r="P148" s="9">
        <f>IF(H148&lt;0,1,0)</f>
        <v/>
      </c>
      <c r="Q148" s="9">
        <f>IF(L148+M148+N148+O148=0,1,0)</f>
        <v/>
      </c>
      <c r="R148" s="9">
        <f>IF(AND(Q148=1,E148&lt;&gt;"cancelled"),COUNTIFS($B$2:$B$152,B148,$Q$2:$Q$152,1,$E$2:$E$152,"&lt;&gt;cancelled",$C$2:$C$152,"&lt;"&amp;D148,$D$2:$D$152,"&gt;"&amp;C148)-1,0)</f>
        <v/>
      </c>
      <c r="S148" s="9">
        <f>IF(AND(Q148=1,OR(R148&gt;0,P148=1)),1,0)</f>
        <v/>
      </c>
      <c r="T148" s="9">
        <f>IF(Q148=0,0,IF(AND(S148=1,Dashboard!$C$7="Нет"),0,1))</f>
        <v/>
      </c>
      <c r="U148" s="9">
        <f>IF(L148=1,"Исключено: дубль",IF(M148=1,"Исключено: нет объекта",IF(N148=1,"Исключено: валюта",IF(O148=1,"Исключено: возврат/статус",IF(S148=1,"На проверке","OK")))))</f>
        <v/>
      </c>
      <c r="V148" s="25">
        <f>SUMIFS(commission_rules!$D$2:$D$21,commission_rules!$A$2:$A$21,B148,commission_rules!$B$2:$B$21,"&lt;="&amp;C148,commission_rules!$C$2:$C$21,"&gt;="&amp;C148)</f>
        <v/>
      </c>
      <c r="W148" s="10">
        <f>F148-I148</f>
        <v/>
      </c>
      <c r="X148" s="10">
        <f>IF(F148=0,0,H148*W148/F148)</f>
        <v/>
      </c>
      <c r="Y148" s="10">
        <f>V148*W148</f>
        <v/>
      </c>
      <c r="Z148" s="10">
        <f>W148-X148</f>
        <v/>
      </c>
      <c r="AA148" s="10">
        <f>SUMIFS(calc_payments!$N$2:$N$77,calc_payments!$B$2:$B$77,A148)</f>
        <v/>
      </c>
      <c r="AB148" s="10">
        <f>AA148-Z148</f>
        <v/>
      </c>
      <c r="AC148" s="9">
        <f>IF(T148=0,"",IF(AA148=0,IF(Z148=0,"нечего получать","нет платежа"),IF(ABS(AB148)&lt;1,"сходится","расхождение")))</f>
        <v/>
      </c>
      <c r="AD148" s="9">
        <f>MAX(0,MIN(D148,Dashboard!$C$6+1)-MAX(C148,Dashboard!$C$5))</f>
        <v/>
      </c>
      <c r="AE148" s="26">
        <f>IF(K148=0,0,AD148/K148)*T148</f>
        <v/>
      </c>
      <c r="AF148" s="10">
        <f>F148*AE148</f>
        <v/>
      </c>
      <c r="AG148" s="10">
        <f>I148*AE148</f>
        <v/>
      </c>
      <c r="AH148" s="10">
        <f>W148*AE148</f>
        <v/>
      </c>
      <c r="AI148" s="10">
        <f>X148*AE148</f>
        <v/>
      </c>
      <c r="AJ148" s="10">
        <f>Y148*AE148</f>
        <v/>
      </c>
      <c r="AK148" s="9">
        <f>IF(AND(T148=1,AD148&gt;0),1,0)</f>
        <v/>
      </c>
      <c r="AL148" s="10">
        <f>Z148*AK148</f>
        <v/>
      </c>
      <c r="AM148" s="10">
        <f>AA148*AK148</f>
        <v/>
      </c>
      <c r="AN148" s="9">
        <f>AD148*T148</f>
        <v/>
      </c>
      <c r="AO148" s="9">
        <f>S148*AK148</f>
        <v/>
      </c>
    </row>
    <row r="149">
      <c r="A149" s="9">
        <f>raw_reservations!A149</f>
        <v/>
      </c>
      <c r="B149" s="9">
        <f>raw_reservations!B149</f>
        <v/>
      </c>
      <c r="C149" s="24">
        <f>raw_reservations!C149</f>
        <v/>
      </c>
      <c r="D149" s="24">
        <f>raw_reservations!D149</f>
        <v/>
      </c>
      <c r="E149" s="9">
        <f>raw_reservations!E149</f>
        <v/>
      </c>
      <c r="F149" s="10">
        <f>raw_reservations!F149</f>
        <v/>
      </c>
      <c r="G149" s="9">
        <f>raw_reservations!G149</f>
        <v/>
      </c>
      <c r="H149" s="10">
        <f>raw_reservations!H149</f>
        <v/>
      </c>
      <c r="I149" s="10">
        <f>raw_reservations!I149</f>
        <v/>
      </c>
      <c r="J149" s="9">
        <f>raw_reservations!J149</f>
        <v/>
      </c>
      <c r="K149" s="9">
        <f>D149-C149</f>
        <v/>
      </c>
      <c r="L149" s="9">
        <f>IF(COUNTIF(A$2:A149,A149)&gt;1,1,0)</f>
        <v/>
      </c>
      <c r="M149" s="9">
        <f>IF(COUNTIF(properties!$A$2:$A$21,B149)=0,1,0)</f>
        <v/>
      </c>
      <c r="N149" s="9">
        <f>IF(M149=1,0,IF(G149&lt;&gt;INDEX(properties!$E$2:$E$21,MATCH(B149,properties!$A$2:$A$21,0)),1,0))</f>
        <v/>
      </c>
      <c r="O149" s="9">
        <f>IF(OR(I149&gt;F149,AND(E149&lt;&gt;"cancelled",I149&gt;0)),1,0)</f>
        <v/>
      </c>
      <c r="P149" s="9">
        <f>IF(H149&lt;0,1,0)</f>
        <v/>
      </c>
      <c r="Q149" s="9">
        <f>IF(L149+M149+N149+O149=0,1,0)</f>
        <v/>
      </c>
      <c r="R149" s="9">
        <f>IF(AND(Q149=1,E149&lt;&gt;"cancelled"),COUNTIFS($B$2:$B$152,B149,$Q$2:$Q$152,1,$E$2:$E$152,"&lt;&gt;cancelled",$C$2:$C$152,"&lt;"&amp;D149,$D$2:$D$152,"&gt;"&amp;C149)-1,0)</f>
        <v/>
      </c>
      <c r="S149" s="9">
        <f>IF(AND(Q149=1,OR(R149&gt;0,P149=1)),1,0)</f>
        <v/>
      </c>
      <c r="T149" s="9">
        <f>IF(Q149=0,0,IF(AND(S149=1,Dashboard!$C$7="Нет"),0,1))</f>
        <v/>
      </c>
      <c r="U149" s="9">
        <f>IF(L149=1,"Исключено: дубль",IF(M149=1,"Исключено: нет объекта",IF(N149=1,"Исключено: валюта",IF(O149=1,"Исключено: возврат/статус",IF(S149=1,"На проверке","OK")))))</f>
        <v/>
      </c>
      <c r="V149" s="25">
        <f>SUMIFS(commission_rules!$D$2:$D$21,commission_rules!$A$2:$A$21,B149,commission_rules!$B$2:$B$21,"&lt;="&amp;C149,commission_rules!$C$2:$C$21,"&gt;="&amp;C149)</f>
        <v/>
      </c>
      <c r="W149" s="10">
        <f>F149-I149</f>
        <v/>
      </c>
      <c r="X149" s="10">
        <f>IF(F149=0,0,H149*W149/F149)</f>
        <v/>
      </c>
      <c r="Y149" s="10">
        <f>V149*W149</f>
        <v/>
      </c>
      <c r="Z149" s="10">
        <f>W149-X149</f>
        <v/>
      </c>
      <c r="AA149" s="10">
        <f>SUMIFS(calc_payments!$N$2:$N$77,calc_payments!$B$2:$B$77,A149)</f>
        <v/>
      </c>
      <c r="AB149" s="10">
        <f>AA149-Z149</f>
        <v/>
      </c>
      <c r="AC149" s="9">
        <f>IF(T149=0,"",IF(AA149=0,IF(Z149=0,"нечего получать","нет платежа"),IF(ABS(AB149)&lt;1,"сходится","расхождение")))</f>
        <v/>
      </c>
      <c r="AD149" s="9">
        <f>MAX(0,MIN(D149,Dashboard!$C$6+1)-MAX(C149,Dashboard!$C$5))</f>
        <v/>
      </c>
      <c r="AE149" s="26">
        <f>IF(K149=0,0,AD149/K149)*T149</f>
        <v/>
      </c>
      <c r="AF149" s="10">
        <f>F149*AE149</f>
        <v/>
      </c>
      <c r="AG149" s="10">
        <f>I149*AE149</f>
        <v/>
      </c>
      <c r="AH149" s="10">
        <f>W149*AE149</f>
        <v/>
      </c>
      <c r="AI149" s="10">
        <f>X149*AE149</f>
        <v/>
      </c>
      <c r="AJ149" s="10">
        <f>Y149*AE149</f>
        <v/>
      </c>
      <c r="AK149" s="9">
        <f>IF(AND(T149=1,AD149&gt;0),1,0)</f>
        <v/>
      </c>
      <c r="AL149" s="10">
        <f>Z149*AK149</f>
        <v/>
      </c>
      <c r="AM149" s="10">
        <f>AA149*AK149</f>
        <v/>
      </c>
      <c r="AN149" s="9">
        <f>AD149*T149</f>
        <v/>
      </c>
      <c r="AO149" s="9">
        <f>S149*AK149</f>
        <v/>
      </c>
    </row>
    <row r="150">
      <c r="A150" s="9">
        <f>raw_reservations!A150</f>
        <v/>
      </c>
      <c r="B150" s="9">
        <f>raw_reservations!B150</f>
        <v/>
      </c>
      <c r="C150" s="24">
        <f>raw_reservations!C150</f>
        <v/>
      </c>
      <c r="D150" s="24">
        <f>raw_reservations!D150</f>
        <v/>
      </c>
      <c r="E150" s="9">
        <f>raw_reservations!E150</f>
        <v/>
      </c>
      <c r="F150" s="10">
        <f>raw_reservations!F150</f>
        <v/>
      </c>
      <c r="G150" s="9">
        <f>raw_reservations!G150</f>
        <v/>
      </c>
      <c r="H150" s="10">
        <f>raw_reservations!H150</f>
        <v/>
      </c>
      <c r="I150" s="10">
        <f>raw_reservations!I150</f>
        <v/>
      </c>
      <c r="J150" s="9">
        <f>raw_reservations!J150</f>
        <v/>
      </c>
      <c r="K150" s="9">
        <f>D150-C150</f>
        <v/>
      </c>
      <c r="L150" s="9">
        <f>IF(COUNTIF(A$2:A150,A150)&gt;1,1,0)</f>
        <v/>
      </c>
      <c r="M150" s="9">
        <f>IF(COUNTIF(properties!$A$2:$A$21,B150)=0,1,0)</f>
        <v/>
      </c>
      <c r="N150" s="9">
        <f>IF(M150=1,0,IF(G150&lt;&gt;INDEX(properties!$E$2:$E$21,MATCH(B150,properties!$A$2:$A$21,0)),1,0))</f>
        <v/>
      </c>
      <c r="O150" s="9">
        <f>IF(OR(I150&gt;F150,AND(E150&lt;&gt;"cancelled",I150&gt;0)),1,0)</f>
        <v/>
      </c>
      <c r="P150" s="9">
        <f>IF(H150&lt;0,1,0)</f>
        <v/>
      </c>
      <c r="Q150" s="9">
        <f>IF(L150+M150+N150+O150=0,1,0)</f>
        <v/>
      </c>
      <c r="R150" s="9">
        <f>IF(AND(Q150=1,E150&lt;&gt;"cancelled"),COUNTIFS($B$2:$B$152,B150,$Q$2:$Q$152,1,$E$2:$E$152,"&lt;&gt;cancelled",$C$2:$C$152,"&lt;"&amp;D150,$D$2:$D$152,"&gt;"&amp;C150)-1,0)</f>
        <v/>
      </c>
      <c r="S150" s="9">
        <f>IF(AND(Q150=1,OR(R150&gt;0,P150=1)),1,0)</f>
        <v/>
      </c>
      <c r="T150" s="9">
        <f>IF(Q150=0,0,IF(AND(S150=1,Dashboard!$C$7="Нет"),0,1))</f>
        <v/>
      </c>
      <c r="U150" s="9">
        <f>IF(L150=1,"Исключено: дубль",IF(M150=1,"Исключено: нет объекта",IF(N150=1,"Исключено: валюта",IF(O150=1,"Исключено: возврат/статус",IF(S150=1,"На проверке","OK")))))</f>
        <v/>
      </c>
      <c r="V150" s="25">
        <f>SUMIFS(commission_rules!$D$2:$D$21,commission_rules!$A$2:$A$21,B150,commission_rules!$B$2:$B$21,"&lt;="&amp;C150,commission_rules!$C$2:$C$21,"&gt;="&amp;C150)</f>
        <v/>
      </c>
      <c r="W150" s="10">
        <f>F150-I150</f>
        <v/>
      </c>
      <c r="X150" s="10">
        <f>IF(F150=0,0,H150*W150/F150)</f>
        <v/>
      </c>
      <c r="Y150" s="10">
        <f>V150*W150</f>
        <v/>
      </c>
      <c r="Z150" s="10">
        <f>W150-X150</f>
        <v/>
      </c>
      <c r="AA150" s="10">
        <f>SUMIFS(calc_payments!$N$2:$N$77,calc_payments!$B$2:$B$77,A150)</f>
        <v/>
      </c>
      <c r="AB150" s="10">
        <f>AA150-Z150</f>
        <v/>
      </c>
      <c r="AC150" s="9">
        <f>IF(T150=0,"",IF(AA150=0,IF(Z150=0,"нечего получать","нет платежа"),IF(ABS(AB150)&lt;1,"сходится","расхождение")))</f>
        <v/>
      </c>
      <c r="AD150" s="9">
        <f>MAX(0,MIN(D150,Dashboard!$C$6+1)-MAX(C150,Dashboard!$C$5))</f>
        <v/>
      </c>
      <c r="AE150" s="26">
        <f>IF(K150=0,0,AD150/K150)*T150</f>
        <v/>
      </c>
      <c r="AF150" s="10">
        <f>F150*AE150</f>
        <v/>
      </c>
      <c r="AG150" s="10">
        <f>I150*AE150</f>
        <v/>
      </c>
      <c r="AH150" s="10">
        <f>W150*AE150</f>
        <v/>
      </c>
      <c r="AI150" s="10">
        <f>X150*AE150</f>
        <v/>
      </c>
      <c r="AJ150" s="10">
        <f>Y150*AE150</f>
        <v/>
      </c>
      <c r="AK150" s="9">
        <f>IF(AND(T150=1,AD150&gt;0),1,0)</f>
        <v/>
      </c>
      <c r="AL150" s="10">
        <f>Z150*AK150</f>
        <v/>
      </c>
      <c r="AM150" s="10">
        <f>AA150*AK150</f>
        <v/>
      </c>
      <c r="AN150" s="9">
        <f>AD150*T150</f>
        <v/>
      </c>
      <c r="AO150" s="9">
        <f>S150*AK150</f>
        <v/>
      </c>
    </row>
    <row r="151">
      <c r="A151" s="9">
        <f>raw_reservations!A151</f>
        <v/>
      </c>
      <c r="B151" s="9">
        <f>raw_reservations!B151</f>
        <v/>
      </c>
      <c r="C151" s="24">
        <f>raw_reservations!C151</f>
        <v/>
      </c>
      <c r="D151" s="24">
        <f>raw_reservations!D151</f>
        <v/>
      </c>
      <c r="E151" s="9">
        <f>raw_reservations!E151</f>
        <v/>
      </c>
      <c r="F151" s="10">
        <f>raw_reservations!F151</f>
        <v/>
      </c>
      <c r="G151" s="9">
        <f>raw_reservations!G151</f>
        <v/>
      </c>
      <c r="H151" s="10">
        <f>raw_reservations!H151</f>
        <v/>
      </c>
      <c r="I151" s="10">
        <f>raw_reservations!I151</f>
        <v/>
      </c>
      <c r="J151" s="9">
        <f>raw_reservations!J151</f>
        <v/>
      </c>
      <c r="K151" s="9">
        <f>D151-C151</f>
        <v/>
      </c>
      <c r="L151" s="9">
        <f>IF(COUNTIF(A$2:A151,A151)&gt;1,1,0)</f>
        <v/>
      </c>
      <c r="M151" s="9">
        <f>IF(COUNTIF(properties!$A$2:$A$21,B151)=0,1,0)</f>
        <v/>
      </c>
      <c r="N151" s="9">
        <f>IF(M151=1,0,IF(G151&lt;&gt;INDEX(properties!$E$2:$E$21,MATCH(B151,properties!$A$2:$A$21,0)),1,0))</f>
        <v/>
      </c>
      <c r="O151" s="9">
        <f>IF(OR(I151&gt;F151,AND(E151&lt;&gt;"cancelled",I151&gt;0)),1,0)</f>
        <v/>
      </c>
      <c r="P151" s="9">
        <f>IF(H151&lt;0,1,0)</f>
        <v/>
      </c>
      <c r="Q151" s="9">
        <f>IF(L151+M151+N151+O151=0,1,0)</f>
        <v/>
      </c>
      <c r="R151" s="9">
        <f>IF(AND(Q151=1,E151&lt;&gt;"cancelled"),COUNTIFS($B$2:$B$152,B151,$Q$2:$Q$152,1,$E$2:$E$152,"&lt;&gt;cancelled",$C$2:$C$152,"&lt;"&amp;D151,$D$2:$D$152,"&gt;"&amp;C151)-1,0)</f>
        <v/>
      </c>
      <c r="S151" s="9">
        <f>IF(AND(Q151=1,OR(R151&gt;0,P151=1)),1,0)</f>
        <v/>
      </c>
      <c r="T151" s="9">
        <f>IF(Q151=0,0,IF(AND(S151=1,Dashboard!$C$7="Нет"),0,1))</f>
        <v/>
      </c>
      <c r="U151" s="9">
        <f>IF(L151=1,"Исключено: дубль",IF(M151=1,"Исключено: нет объекта",IF(N151=1,"Исключено: валюта",IF(O151=1,"Исключено: возврат/статус",IF(S151=1,"На проверке","OK")))))</f>
        <v/>
      </c>
      <c r="V151" s="25">
        <f>SUMIFS(commission_rules!$D$2:$D$21,commission_rules!$A$2:$A$21,B151,commission_rules!$B$2:$B$21,"&lt;="&amp;C151,commission_rules!$C$2:$C$21,"&gt;="&amp;C151)</f>
        <v/>
      </c>
      <c r="W151" s="10">
        <f>F151-I151</f>
        <v/>
      </c>
      <c r="X151" s="10">
        <f>IF(F151=0,0,H151*W151/F151)</f>
        <v/>
      </c>
      <c r="Y151" s="10">
        <f>V151*W151</f>
        <v/>
      </c>
      <c r="Z151" s="10">
        <f>W151-X151</f>
        <v/>
      </c>
      <c r="AA151" s="10">
        <f>SUMIFS(calc_payments!$N$2:$N$77,calc_payments!$B$2:$B$77,A151)</f>
        <v/>
      </c>
      <c r="AB151" s="10">
        <f>AA151-Z151</f>
        <v/>
      </c>
      <c r="AC151" s="9">
        <f>IF(T151=0,"",IF(AA151=0,IF(Z151=0,"нечего получать","нет платежа"),IF(ABS(AB151)&lt;1,"сходится","расхождение")))</f>
        <v/>
      </c>
      <c r="AD151" s="9">
        <f>MAX(0,MIN(D151,Dashboard!$C$6+1)-MAX(C151,Dashboard!$C$5))</f>
        <v/>
      </c>
      <c r="AE151" s="26">
        <f>IF(K151=0,0,AD151/K151)*T151</f>
        <v/>
      </c>
      <c r="AF151" s="10">
        <f>F151*AE151</f>
        <v/>
      </c>
      <c r="AG151" s="10">
        <f>I151*AE151</f>
        <v/>
      </c>
      <c r="AH151" s="10">
        <f>W151*AE151</f>
        <v/>
      </c>
      <c r="AI151" s="10">
        <f>X151*AE151</f>
        <v/>
      </c>
      <c r="AJ151" s="10">
        <f>Y151*AE151</f>
        <v/>
      </c>
      <c r="AK151" s="9">
        <f>IF(AND(T151=1,AD151&gt;0),1,0)</f>
        <v/>
      </c>
      <c r="AL151" s="10">
        <f>Z151*AK151</f>
        <v/>
      </c>
      <c r="AM151" s="10">
        <f>AA151*AK151</f>
        <v/>
      </c>
      <c r="AN151" s="9">
        <f>AD151*T151</f>
        <v/>
      </c>
      <c r="AO151" s="9">
        <f>S151*AK151</f>
        <v/>
      </c>
    </row>
    <row r="152">
      <c r="A152" s="9">
        <f>raw_reservations!A152</f>
        <v/>
      </c>
      <c r="B152" s="9">
        <f>raw_reservations!B152</f>
        <v/>
      </c>
      <c r="C152" s="24">
        <f>raw_reservations!C152</f>
        <v/>
      </c>
      <c r="D152" s="24">
        <f>raw_reservations!D152</f>
        <v/>
      </c>
      <c r="E152" s="9">
        <f>raw_reservations!E152</f>
        <v/>
      </c>
      <c r="F152" s="10">
        <f>raw_reservations!F152</f>
        <v/>
      </c>
      <c r="G152" s="9">
        <f>raw_reservations!G152</f>
        <v/>
      </c>
      <c r="H152" s="10">
        <f>raw_reservations!H152</f>
        <v/>
      </c>
      <c r="I152" s="10">
        <f>raw_reservations!I152</f>
        <v/>
      </c>
      <c r="J152" s="9">
        <f>raw_reservations!J152</f>
        <v/>
      </c>
      <c r="K152" s="9">
        <f>D152-C152</f>
        <v/>
      </c>
      <c r="L152" s="9">
        <f>IF(COUNTIF(A$2:A152,A152)&gt;1,1,0)</f>
        <v/>
      </c>
      <c r="M152" s="9">
        <f>IF(COUNTIF(properties!$A$2:$A$21,B152)=0,1,0)</f>
        <v/>
      </c>
      <c r="N152" s="9">
        <f>IF(M152=1,0,IF(G152&lt;&gt;INDEX(properties!$E$2:$E$21,MATCH(B152,properties!$A$2:$A$21,0)),1,0))</f>
        <v/>
      </c>
      <c r="O152" s="9">
        <f>IF(OR(I152&gt;F152,AND(E152&lt;&gt;"cancelled",I152&gt;0)),1,0)</f>
        <v/>
      </c>
      <c r="P152" s="9">
        <f>IF(H152&lt;0,1,0)</f>
        <v/>
      </c>
      <c r="Q152" s="9">
        <f>IF(L152+M152+N152+O152=0,1,0)</f>
        <v/>
      </c>
      <c r="R152" s="9">
        <f>IF(AND(Q152=1,E152&lt;&gt;"cancelled"),COUNTIFS($B$2:$B$152,B152,$Q$2:$Q$152,1,$E$2:$E$152,"&lt;&gt;cancelled",$C$2:$C$152,"&lt;"&amp;D152,$D$2:$D$152,"&gt;"&amp;C152)-1,0)</f>
        <v/>
      </c>
      <c r="S152" s="9">
        <f>IF(AND(Q152=1,OR(R152&gt;0,P152=1)),1,0)</f>
        <v/>
      </c>
      <c r="T152" s="9">
        <f>IF(Q152=0,0,IF(AND(S152=1,Dashboard!$C$7="Нет"),0,1))</f>
        <v/>
      </c>
      <c r="U152" s="9">
        <f>IF(L152=1,"Исключено: дубль",IF(M152=1,"Исключено: нет объекта",IF(N152=1,"Исключено: валюта",IF(O152=1,"Исключено: возврат/статус",IF(S152=1,"На проверке","OK")))))</f>
        <v/>
      </c>
      <c r="V152" s="25">
        <f>SUMIFS(commission_rules!$D$2:$D$21,commission_rules!$A$2:$A$21,B152,commission_rules!$B$2:$B$21,"&lt;="&amp;C152,commission_rules!$C$2:$C$21,"&gt;="&amp;C152)</f>
        <v/>
      </c>
      <c r="W152" s="10">
        <f>F152-I152</f>
        <v/>
      </c>
      <c r="X152" s="10">
        <f>IF(F152=0,0,H152*W152/F152)</f>
        <v/>
      </c>
      <c r="Y152" s="10">
        <f>V152*W152</f>
        <v/>
      </c>
      <c r="Z152" s="10">
        <f>W152-X152</f>
        <v/>
      </c>
      <c r="AA152" s="10">
        <f>SUMIFS(calc_payments!$N$2:$N$77,calc_payments!$B$2:$B$77,A152)</f>
        <v/>
      </c>
      <c r="AB152" s="10">
        <f>AA152-Z152</f>
        <v/>
      </c>
      <c r="AC152" s="9">
        <f>IF(T152=0,"",IF(AA152=0,IF(Z152=0,"нечего получать","нет платежа"),IF(ABS(AB152)&lt;1,"сходится","расхождение")))</f>
        <v/>
      </c>
      <c r="AD152" s="9">
        <f>MAX(0,MIN(D152,Dashboard!$C$6+1)-MAX(C152,Dashboard!$C$5))</f>
        <v/>
      </c>
      <c r="AE152" s="26">
        <f>IF(K152=0,0,AD152/K152)*T152</f>
        <v/>
      </c>
      <c r="AF152" s="10">
        <f>F152*AE152</f>
        <v/>
      </c>
      <c r="AG152" s="10">
        <f>I152*AE152</f>
        <v/>
      </c>
      <c r="AH152" s="10">
        <f>W152*AE152</f>
        <v/>
      </c>
      <c r="AI152" s="10">
        <f>X152*AE152</f>
        <v/>
      </c>
      <c r="AJ152" s="10">
        <f>Y152*AE152</f>
        <v/>
      </c>
      <c r="AK152" s="9">
        <f>IF(AND(T152=1,AD152&gt;0),1,0)</f>
        <v/>
      </c>
      <c r="AL152" s="10">
        <f>Z152*AK152</f>
        <v/>
      </c>
      <c r="AM152" s="10">
        <f>AA152*AK152</f>
        <v/>
      </c>
      <c r="AN152" s="9">
        <f>AD152*T152</f>
        <v/>
      </c>
      <c r="AO152" s="9">
        <f>S152*AK152</f>
        <v/>
      </c>
    </row>
  </sheetData>
  <autoFilter ref="A1:AO15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E7A9E"/>
    <outlinePr summaryBelow="1" summaryRight="1"/>
    <pageSetUpPr/>
  </sheetPr>
  <dimension ref="A1:Q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9" customWidth="1" min="3" max="3"/>
    <col width="11" customWidth="1" min="4" max="4"/>
    <col width="12" customWidth="1" min="5" max="5"/>
    <col width="8" customWidth="1" min="6" max="6"/>
    <col width="9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2" customWidth="1" min="14" max="14"/>
    <col width="8" customWidth="1" min="15" max="15"/>
    <col width="12" customWidth="1" min="16" max="16"/>
    <col width="22" customWidth="1" min="17" max="17"/>
  </cols>
  <sheetData>
    <row r="1" ht="30" customHeight="1">
      <c r="A1" s="13" t="inlineStr">
        <is>
          <t>payment_id</t>
        </is>
      </c>
      <c r="B1" s="13" t="inlineStr">
        <is>
          <t>reservation_id</t>
        </is>
      </c>
      <c r="C1" s="13" t="inlineStr">
        <is>
          <t>property_id</t>
        </is>
      </c>
      <c r="D1" s="13" t="inlineStr">
        <is>
          <t>payment_date</t>
        </is>
      </c>
      <c r="E1" s="13" t="inlineStr">
        <is>
          <t>amount</t>
        </is>
      </c>
      <c r="F1" s="13" t="inlineStr">
        <is>
          <t>currency</t>
        </is>
      </c>
      <c r="G1" s="13" t="inlineStr">
        <is>
          <t>status</t>
        </is>
      </c>
      <c r="H1" s="23" t="inlineStr">
        <is>
          <t>chk: дубль ID</t>
        </is>
      </c>
      <c r="I1" s="23" t="inlineStr">
        <is>
          <t>chk: нет объекта</t>
        </is>
      </c>
      <c r="J1" s="23" t="inlineStr">
        <is>
          <t>chk: сумма = 0</t>
        </is>
      </c>
      <c r="K1" s="23" t="inlineStr">
        <is>
          <t>chk: бронь не найдена</t>
        </is>
      </c>
      <c r="L1" s="23" t="inlineStr">
        <is>
          <t>chk: объект ≠ брони</t>
        </is>
      </c>
      <c r="M1" s="13" t="inlineStr">
        <is>
          <t>в расчёте</t>
        </is>
      </c>
      <c r="N1" s="13" t="inlineStr">
        <is>
          <t>сумма в расчёте</t>
        </is>
      </c>
      <c r="O1" s="13" t="inlineStr">
        <is>
          <t>в периоде</t>
        </is>
      </c>
      <c r="P1" s="13" t="inlineStr">
        <is>
          <t>поступило · период</t>
        </is>
      </c>
      <c r="Q1" s="13" t="inlineStr">
        <is>
          <t>решение</t>
        </is>
      </c>
    </row>
    <row r="2">
      <c r="A2" s="9">
        <f>raw_payments!A2</f>
        <v/>
      </c>
      <c r="B2" s="9">
        <f>raw_payments!B2</f>
        <v/>
      </c>
      <c r="C2" s="9">
        <f>raw_payments!C2</f>
        <v/>
      </c>
      <c r="D2" s="24">
        <f>raw_payments!D2</f>
        <v/>
      </c>
      <c r="E2" s="10">
        <f>raw_payments!E2</f>
        <v/>
      </c>
      <c r="F2" s="9">
        <f>raw_payments!F2</f>
        <v/>
      </c>
      <c r="G2" s="9">
        <f>raw_payments!G2</f>
        <v/>
      </c>
      <c r="H2" s="9">
        <f>IF(COUNTIF(A$2:A2,A2)&gt;1,1,0)</f>
        <v/>
      </c>
      <c r="I2" s="9">
        <f>IF(COUNTIF(properties!$A$2:$A$21,C2)=0,1,0)</f>
        <v/>
      </c>
      <c r="J2" s="9">
        <f>IF(E2&lt;=0,1,0)</f>
        <v/>
      </c>
      <c r="K2" s="9">
        <f>IF(COUNTIF(raw_reservations!$A$2:$A$152,B2)=0,1,0)</f>
        <v/>
      </c>
      <c r="L2" s="9">
        <f>IF(K2=1,0,IF(INDEX(raw_reservations!$B$2:$B$152,MATCH(B2,raw_reservations!$A$2:$A$152,0))&lt;&gt;C2,1,0))</f>
        <v/>
      </c>
      <c r="M2" s="9">
        <f>IF(AND(H2=0,I2=0,J2=0,K2=0,G2="received"),1,0)</f>
        <v/>
      </c>
      <c r="N2" s="10">
        <f>E2*M2</f>
        <v/>
      </c>
      <c r="O2" s="9">
        <f>IF(AND(D2&gt;=Dashboard!$C$5,D2&lt;=Dashboard!$C$6),1,0)</f>
        <v/>
      </c>
      <c r="P2" s="10">
        <f>N2*O2</f>
        <v/>
      </c>
      <c r="Q2" s="9">
        <f>IF(H2=1,"Исключено: дубль",IF(I2=1,"Исключено: нет объекта",IF(K2=1,"Исключено: нет брони",IF(J2=1,"Исключено: сумма 0","OK"))))</f>
        <v/>
      </c>
    </row>
    <row r="3">
      <c r="A3" s="9">
        <f>raw_payments!A3</f>
        <v/>
      </c>
      <c r="B3" s="9">
        <f>raw_payments!B3</f>
        <v/>
      </c>
      <c r="C3" s="9">
        <f>raw_payments!C3</f>
        <v/>
      </c>
      <c r="D3" s="24">
        <f>raw_payments!D3</f>
        <v/>
      </c>
      <c r="E3" s="10">
        <f>raw_payments!E3</f>
        <v/>
      </c>
      <c r="F3" s="9">
        <f>raw_payments!F3</f>
        <v/>
      </c>
      <c r="G3" s="9">
        <f>raw_payments!G3</f>
        <v/>
      </c>
      <c r="H3" s="9">
        <f>IF(COUNTIF(A$2:A3,A3)&gt;1,1,0)</f>
        <v/>
      </c>
      <c r="I3" s="9">
        <f>IF(COUNTIF(properties!$A$2:$A$21,C3)=0,1,0)</f>
        <v/>
      </c>
      <c r="J3" s="9">
        <f>IF(E3&lt;=0,1,0)</f>
        <v/>
      </c>
      <c r="K3" s="9">
        <f>IF(COUNTIF(raw_reservations!$A$2:$A$152,B3)=0,1,0)</f>
        <v/>
      </c>
      <c r="L3" s="9">
        <f>IF(K3=1,0,IF(INDEX(raw_reservations!$B$2:$B$152,MATCH(B3,raw_reservations!$A$2:$A$152,0))&lt;&gt;C3,1,0))</f>
        <v/>
      </c>
      <c r="M3" s="9">
        <f>IF(AND(H3=0,I3=0,J3=0,K3=0,G3="received"),1,0)</f>
        <v/>
      </c>
      <c r="N3" s="10">
        <f>E3*M3</f>
        <v/>
      </c>
      <c r="O3" s="9">
        <f>IF(AND(D3&gt;=Dashboard!$C$5,D3&lt;=Dashboard!$C$6),1,0)</f>
        <v/>
      </c>
      <c r="P3" s="10">
        <f>N3*O3</f>
        <v/>
      </c>
      <c r="Q3" s="9">
        <f>IF(H3=1,"Исключено: дубль",IF(I3=1,"Исключено: нет объекта",IF(K3=1,"Исключено: нет брони",IF(J3=1,"Исключено: сумма 0","OK"))))</f>
        <v/>
      </c>
    </row>
    <row r="4">
      <c r="A4" s="9">
        <f>raw_payments!A4</f>
        <v/>
      </c>
      <c r="B4" s="9">
        <f>raw_payments!B4</f>
        <v/>
      </c>
      <c r="C4" s="9">
        <f>raw_payments!C4</f>
        <v/>
      </c>
      <c r="D4" s="24">
        <f>raw_payments!D4</f>
        <v/>
      </c>
      <c r="E4" s="10">
        <f>raw_payments!E4</f>
        <v/>
      </c>
      <c r="F4" s="9">
        <f>raw_payments!F4</f>
        <v/>
      </c>
      <c r="G4" s="9">
        <f>raw_payments!G4</f>
        <v/>
      </c>
      <c r="H4" s="9">
        <f>IF(COUNTIF(A$2:A4,A4)&gt;1,1,0)</f>
        <v/>
      </c>
      <c r="I4" s="9">
        <f>IF(COUNTIF(properties!$A$2:$A$21,C4)=0,1,0)</f>
        <v/>
      </c>
      <c r="J4" s="9">
        <f>IF(E4&lt;=0,1,0)</f>
        <v/>
      </c>
      <c r="K4" s="9">
        <f>IF(COUNTIF(raw_reservations!$A$2:$A$152,B4)=0,1,0)</f>
        <v/>
      </c>
      <c r="L4" s="9">
        <f>IF(K4=1,0,IF(INDEX(raw_reservations!$B$2:$B$152,MATCH(B4,raw_reservations!$A$2:$A$152,0))&lt;&gt;C4,1,0))</f>
        <v/>
      </c>
      <c r="M4" s="9">
        <f>IF(AND(H4=0,I4=0,J4=0,K4=0,G4="received"),1,0)</f>
        <v/>
      </c>
      <c r="N4" s="10">
        <f>E4*M4</f>
        <v/>
      </c>
      <c r="O4" s="9">
        <f>IF(AND(D4&gt;=Dashboard!$C$5,D4&lt;=Dashboard!$C$6),1,0)</f>
        <v/>
      </c>
      <c r="P4" s="10">
        <f>N4*O4</f>
        <v/>
      </c>
      <c r="Q4" s="9">
        <f>IF(H4=1,"Исключено: дубль",IF(I4=1,"Исключено: нет объекта",IF(K4=1,"Исключено: нет брони",IF(J4=1,"Исключено: сумма 0","OK"))))</f>
        <v/>
      </c>
    </row>
    <row r="5">
      <c r="A5" s="9">
        <f>raw_payments!A5</f>
        <v/>
      </c>
      <c r="B5" s="9">
        <f>raw_payments!B5</f>
        <v/>
      </c>
      <c r="C5" s="9">
        <f>raw_payments!C5</f>
        <v/>
      </c>
      <c r="D5" s="24">
        <f>raw_payments!D5</f>
        <v/>
      </c>
      <c r="E5" s="10">
        <f>raw_payments!E5</f>
        <v/>
      </c>
      <c r="F5" s="9">
        <f>raw_payments!F5</f>
        <v/>
      </c>
      <c r="G5" s="9">
        <f>raw_payments!G5</f>
        <v/>
      </c>
      <c r="H5" s="9">
        <f>IF(COUNTIF(A$2:A5,A5)&gt;1,1,0)</f>
        <v/>
      </c>
      <c r="I5" s="9">
        <f>IF(COUNTIF(properties!$A$2:$A$21,C5)=0,1,0)</f>
        <v/>
      </c>
      <c r="J5" s="9">
        <f>IF(E5&lt;=0,1,0)</f>
        <v/>
      </c>
      <c r="K5" s="9">
        <f>IF(COUNTIF(raw_reservations!$A$2:$A$152,B5)=0,1,0)</f>
        <v/>
      </c>
      <c r="L5" s="9">
        <f>IF(K5=1,0,IF(INDEX(raw_reservations!$B$2:$B$152,MATCH(B5,raw_reservations!$A$2:$A$152,0))&lt;&gt;C5,1,0))</f>
        <v/>
      </c>
      <c r="M5" s="9">
        <f>IF(AND(H5=0,I5=0,J5=0,K5=0,G5="received"),1,0)</f>
        <v/>
      </c>
      <c r="N5" s="10">
        <f>E5*M5</f>
        <v/>
      </c>
      <c r="O5" s="9">
        <f>IF(AND(D5&gt;=Dashboard!$C$5,D5&lt;=Dashboard!$C$6),1,0)</f>
        <v/>
      </c>
      <c r="P5" s="10">
        <f>N5*O5</f>
        <v/>
      </c>
      <c r="Q5" s="9">
        <f>IF(H5=1,"Исключено: дубль",IF(I5=1,"Исключено: нет объекта",IF(K5=1,"Исключено: нет брони",IF(J5=1,"Исключено: сумма 0","OK"))))</f>
        <v/>
      </c>
    </row>
    <row r="6">
      <c r="A6" s="9">
        <f>raw_payments!A6</f>
        <v/>
      </c>
      <c r="B6" s="9">
        <f>raw_payments!B6</f>
        <v/>
      </c>
      <c r="C6" s="9">
        <f>raw_payments!C6</f>
        <v/>
      </c>
      <c r="D6" s="24">
        <f>raw_payments!D6</f>
        <v/>
      </c>
      <c r="E6" s="10">
        <f>raw_payments!E6</f>
        <v/>
      </c>
      <c r="F6" s="9">
        <f>raw_payments!F6</f>
        <v/>
      </c>
      <c r="G6" s="9">
        <f>raw_payments!G6</f>
        <v/>
      </c>
      <c r="H6" s="9">
        <f>IF(COUNTIF(A$2:A6,A6)&gt;1,1,0)</f>
        <v/>
      </c>
      <c r="I6" s="9">
        <f>IF(COUNTIF(properties!$A$2:$A$21,C6)=0,1,0)</f>
        <v/>
      </c>
      <c r="J6" s="9">
        <f>IF(E6&lt;=0,1,0)</f>
        <v/>
      </c>
      <c r="K6" s="9">
        <f>IF(COUNTIF(raw_reservations!$A$2:$A$152,B6)=0,1,0)</f>
        <v/>
      </c>
      <c r="L6" s="9">
        <f>IF(K6=1,0,IF(INDEX(raw_reservations!$B$2:$B$152,MATCH(B6,raw_reservations!$A$2:$A$152,0))&lt;&gt;C6,1,0))</f>
        <v/>
      </c>
      <c r="M6" s="9">
        <f>IF(AND(H6=0,I6=0,J6=0,K6=0,G6="received"),1,0)</f>
        <v/>
      </c>
      <c r="N6" s="10">
        <f>E6*M6</f>
        <v/>
      </c>
      <c r="O6" s="9">
        <f>IF(AND(D6&gt;=Dashboard!$C$5,D6&lt;=Dashboard!$C$6),1,0)</f>
        <v/>
      </c>
      <c r="P6" s="10">
        <f>N6*O6</f>
        <v/>
      </c>
      <c r="Q6" s="9">
        <f>IF(H6=1,"Исключено: дубль",IF(I6=1,"Исключено: нет объекта",IF(K6=1,"Исключено: нет брони",IF(J6=1,"Исключено: сумма 0","OK"))))</f>
        <v/>
      </c>
    </row>
    <row r="7">
      <c r="A7" s="9">
        <f>raw_payments!A7</f>
        <v/>
      </c>
      <c r="B7" s="9">
        <f>raw_payments!B7</f>
        <v/>
      </c>
      <c r="C7" s="9">
        <f>raw_payments!C7</f>
        <v/>
      </c>
      <c r="D7" s="24">
        <f>raw_payments!D7</f>
        <v/>
      </c>
      <c r="E7" s="10">
        <f>raw_payments!E7</f>
        <v/>
      </c>
      <c r="F7" s="9">
        <f>raw_payments!F7</f>
        <v/>
      </c>
      <c r="G7" s="9">
        <f>raw_payments!G7</f>
        <v/>
      </c>
      <c r="H7" s="9">
        <f>IF(COUNTIF(A$2:A7,A7)&gt;1,1,0)</f>
        <v/>
      </c>
      <c r="I7" s="9">
        <f>IF(COUNTIF(properties!$A$2:$A$21,C7)=0,1,0)</f>
        <v/>
      </c>
      <c r="J7" s="9">
        <f>IF(E7&lt;=0,1,0)</f>
        <v/>
      </c>
      <c r="K7" s="9">
        <f>IF(COUNTIF(raw_reservations!$A$2:$A$152,B7)=0,1,0)</f>
        <v/>
      </c>
      <c r="L7" s="9">
        <f>IF(K7=1,0,IF(INDEX(raw_reservations!$B$2:$B$152,MATCH(B7,raw_reservations!$A$2:$A$152,0))&lt;&gt;C7,1,0))</f>
        <v/>
      </c>
      <c r="M7" s="9">
        <f>IF(AND(H7=0,I7=0,J7=0,K7=0,G7="received"),1,0)</f>
        <v/>
      </c>
      <c r="N7" s="10">
        <f>E7*M7</f>
        <v/>
      </c>
      <c r="O7" s="9">
        <f>IF(AND(D7&gt;=Dashboard!$C$5,D7&lt;=Dashboard!$C$6),1,0)</f>
        <v/>
      </c>
      <c r="P7" s="10">
        <f>N7*O7</f>
        <v/>
      </c>
      <c r="Q7" s="9">
        <f>IF(H7=1,"Исключено: дубль",IF(I7=1,"Исключено: нет объекта",IF(K7=1,"Исключено: нет брони",IF(J7=1,"Исключено: сумма 0","OK"))))</f>
        <v/>
      </c>
    </row>
    <row r="8">
      <c r="A8" s="9">
        <f>raw_payments!A8</f>
        <v/>
      </c>
      <c r="B8" s="9">
        <f>raw_payments!B8</f>
        <v/>
      </c>
      <c r="C8" s="9">
        <f>raw_payments!C8</f>
        <v/>
      </c>
      <c r="D8" s="24">
        <f>raw_payments!D8</f>
        <v/>
      </c>
      <c r="E8" s="10">
        <f>raw_payments!E8</f>
        <v/>
      </c>
      <c r="F8" s="9">
        <f>raw_payments!F8</f>
        <v/>
      </c>
      <c r="G8" s="9">
        <f>raw_payments!G8</f>
        <v/>
      </c>
      <c r="H8" s="9">
        <f>IF(COUNTIF(A$2:A8,A8)&gt;1,1,0)</f>
        <v/>
      </c>
      <c r="I8" s="9">
        <f>IF(COUNTIF(properties!$A$2:$A$21,C8)=0,1,0)</f>
        <v/>
      </c>
      <c r="J8" s="9">
        <f>IF(E8&lt;=0,1,0)</f>
        <v/>
      </c>
      <c r="K8" s="9">
        <f>IF(COUNTIF(raw_reservations!$A$2:$A$152,B8)=0,1,0)</f>
        <v/>
      </c>
      <c r="L8" s="9">
        <f>IF(K8=1,0,IF(INDEX(raw_reservations!$B$2:$B$152,MATCH(B8,raw_reservations!$A$2:$A$152,0))&lt;&gt;C8,1,0))</f>
        <v/>
      </c>
      <c r="M8" s="9">
        <f>IF(AND(H8=0,I8=0,J8=0,K8=0,G8="received"),1,0)</f>
        <v/>
      </c>
      <c r="N8" s="10">
        <f>E8*M8</f>
        <v/>
      </c>
      <c r="O8" s="9">
        <f>IF(AND(D8&gt;=Dashboard!$C$5,D8&lt;=Dashboard!$C$6),1,0)</f>
        <v/>
      </c>
      <c r="P8" s="10">
        <f>N8*O8</f>
        <v/>
      </c>
      <c r="Q8" s="9">
        <f>IF(H8=1,"Исключено: дубль",IF(I8=1,"Исключено: нет объекта",IF(K8=1,"Исключено: нет брони",IF(J8=1,"Исключено: сумма 0","OK"))))</f>
        <v/>
      </c>
    </row>
    <row r="9">
      <c r="A9" s="9">
        <f>raw_payments!A9</f>
        <v/>
      </c>
      <c r="B9" s="9">
        <f>raw_payments!B9</f>
        <v/>
      </c>
      <c r="C9" s="9">
        <f>raw_payments!C9</f>
        <v/>
      </c>
      <c r="D9" s="24">
        <f>raw_payments!D9</f>
        <v/>
      </c>
      <c r="E9" s="10">
        <f>raw_payments!E9</f>
        <v/>
      </c>
      <c r="F9" s="9">
        <f>raw_payments!F9</f>
        <v/>
      </c>
      <c r="G9" s="9">
        <f>raw_payments!G9</f>
        <v/>
      </c>
      <c r="H9" s="9">
        <f>IF(COUNTIF(A$2:A9,A9)&gt;1,1,0)</f>
        <v/>
      </c>
      <c r="I9" s="9">
        <f>IF(COUNTIF(properties!$A$2:$A$21,C9)=0,1,0)</f>
        <v/>
      </c>
      <c r="J9" s="9">
        <f>IF(E9&lt;=0,1,0)</f>
        <v/>
      </c>
      <c r="K9" s="9">
        <f>IF(COUNTIF(raw_reservations!$A$2:$A$152,B9)=0,1,0)</f>
        <v/>
      </c>
      <c r="L9" s="9">
        <f>IF(K9=1,0,IF(INDEX(raw_reservations!$B$2:$B$152,MATCH(B9,raw_reservations!$A$2:$A$152,0))&lt;&gt;C9,1,0))</f>
        <v/>
      </c>
      <c r="M9" s="9">
        <f>IF(AND(H9=0,I9=0,J9=0,K9=0,G9="received"),1,0)</f>
        <v/>
      </c>
      <c r="N9" s="10">
        <f>E9*M9</f>
        <v/>
      </c>
      <c r="O9" s="9">
        <f>IF(AND(D9&gt;=Dashboard!$C$5,D9&lt;=Dashboard!$C$6),1,0)</f>
        <v/>
      </c>
      <c r="P9" s="10">
        <f>N9*O9</f>
        <v/>
      </c>
      <c r="Q9" s="9">
        <f>IF(H9=1,"Исключено: дубль",IF(I9=1,"Исключено: нет объекта",IF(K9=1,"Исключено: нет брони",IF(J9=1,"Исключено: сумма 0","OK"))))</f>
        <v/>
      </c>
    </row>
    <row r="10">
      <c r="A10" s="9">
        <f>raw_payments!A10</f>
        <v/>
      </c>
      <c r="B10" s="9">
        <f>raw_payments!B10</f>
        <v/>
      </c>
      <c r="C10" s="9">
        <f>raw_payments!C10</f>
        <v/>
      </c>
      <c r="D10" s="24">
        <f>raw_payments!D10</f>
        <v/>
      </c>
      <c r="E10" s="10">
        <f>raw_payments!E10</f>
        <v/>
      </c>
      <c r="F10" s="9">
        <f>raw_payments!F10</f>
        <v/>
      </c>
      <c r="G10" s="9">
        <f>raw_payments!G10</f>
        <v/>
      </c>
      <c r="H10" s="9">
        <f>IF(COUNTIF(A$2:A10,A10)&gt;1,1,0)</f>
        <v/>
      </c>
      <c r="I10" s="9">
        <f>IF(COUNTIF(properties!$A$2:$A$21,C10)=0,1,0)</f>
        <v/>
      </c>
      <c r="J10" s="9">
        <f>IF(E10&lt;=0,1,0)</f>
        <v/>
      </c>
      <c r="K10" s="9">
        <f>IF(COUNTIF(raw_reservations!$A$2:$A$152,B10)=0,1,0)</f>
        <v/>
      </c>
      <c r="L10" s="9">
        <f>IF(K10=1,0,IF(INDEX(raw_reservations!$B$2:$B$152,MATCH(B10,raw_reservations!$A$2:$A$152,0))&lt;&gt;C10,1,0))</f>
        <v/>
      </c>
      <c r="M10" s="9">
        <f>IF(AND(H10=0,I10=0,J10=0,K10=0,G10="received"),1,0)</f>
        <v/>
      </c>
      <c r="N10" s="10">
        <f>E10*M10</f>
        <v/>
      </c>
      <c r="O10" s="9">
        <f>IF(AND(D10&gt;=Dashboard!$C$5,D10&lt;=Dashboard!$C$6),1,0)</f>
        <v/>
      </c>
      <c r="P10" s="10">
        <f>N10*O10</f>
        <v/>
      </c>
      <c r="Q10" s="9">
        <f>IF(H10=1,"Исключено: дубль",IF(I10=1,"Исключено: нет объекта",IF(K10=1,"Исключено: нет брони",IF(J10=1,"Исключено: сумма 0","OK"))))</f>
        <v/>
      </c>
    </row>
    <row r="11">
      <c r="A11" s="9">
        <f>raw_payments!A11</f>
        <v/>
      </c>
      <c r="B11" s="9">
        <f>raw_payments!B11</f>
        <v/>
      </c>
      <c r="C11" s="9">
        <f>raw_payments!C11</f>
        <v/>
      </c>
      <c r="D11" s="24">
        <f>raw_payments!D11</f>
        <v/>
      </c>
      <c r="E11" s="10">
        <f>raw_payments!E11</f>
        <v/>
      </c>
      <c r="F11" s="9">
        <f>raw_payments!F11</f>
        <v/>
      </c>
      <c r="G11" s="9">
        <f>raw_payments!G11</f>
        <v/>
      </c>
      <c r="H11" s="9">
        <f>IF(COUNTIF(A$2:A11,A11)&gt;1,1,0)</f>
        <v/>
      </c>
      <c r="I11" s="9">
        <f>IF(COUNTIF(properties!$A$2:$A$21,C11)=0,1,0)</f>
        <v/>
      </c>
      <c r="J11" s="9">
        <f>IF(E11&lt;=0,1,0)</f>
        <v/>
      </c>
      <c r="K11" s="9">
        <f>IF(COUNTIF(raw_reservations!$A$2:$A$152,B11)=0,1,0)</f>
        <v/>
      </c>
      <c r="L11" s="9">
        <f>IF(K11=1,0,IF(INDEX(raw_reservations!$B$2:$B$152,MATCH(B11,raw_reservations!$A$2:$A$152,0))&lt;&gt;C11,1,0))</f>
        <v/>
      </c>
      <c r="M11" s="9">
        <f>IF(AND(H11=0,I11=0,J11=0,K11=0,G11="received"),1,0)</f>
        <v/>
      </c>
      <c r="N11" s="10">
        <f>E11*M11</f>
        <v/>
      </c>
      <c r="O11" s="9">
        <f>IF(AND(D11&gt;=Dashboard!$C$5,D11&lt;=Dashboard!$C$6),1,0)</f>
        <v/>
      </c>
      <c r="P11" s="10">
        <f>N11*O11</f>
        <v/>
      </c>
      <c r="Q11" s="9">
        <f>IF(H11=1,"Исключено: дубль",IF(I11=1,"Исключено: нет объекта",IF(K11=1,"Исключено: нет брони",IF(J11=1,"Исключено: сумма 0","OK"))))</f>
        <v/>
      </c>
    </row>
    <row r="12">
      <c r="A12" s="9">
        <f>raw_payments!A12</f>
        <v/>
      </c>
      <c r="B12" s="9">
        <f>raw_payments!B12</f>
        <v/>
      </c>
      <c r="C12" s="9">
        <f>raw_payments!C12</f>
        <v/>
      </c>
      <c r="D12" s="24">
        <f>raw_payments!D12</f>
        <v/>
      </c>
      <c r="E12" s="10">
        <f>raw_payments!E12</f>
        <v/>
      </c>
      <c r="F12" s="9">
        <f>raw_payments!F12</f>
        <v/>
      </c>
      <c r="G12" s="9">
        <f>raw_payments!G12</f>
        <v/>
      </c>
      <c r="H12" s="9">
        <f>IF(COUNTIF(A$2:A12,A12)&gt;1,1,0)</f>
        <v/>
      </c>
      <c r="I12" s="9">
        <f>IF(COUNTIF(properties!$A$2:$A$21,C12)=0,1,0)</f>
        <v/>
      </c>
      <c r="J12" s="9">
        <f>IF(E12&lt;=0,1,0)</f>
        <v/>
      </c>
      <c r="K12" s="9">
        <f>IF(COUNTIF(raw_reservations!$A$2:$A$152,B12)=0,1,0)</f>
        <v/>
      </c>
      <c r="L12" s="9">
        <f>IF(K12=1,0,IF(INDEX(raw_reservations!$B$2:$B$152,MATCH(B12,raw_reservations!$A$2:$A$152,0))&lt;&gt;C12,1,0))</f>
        <v/>
      </c>
      <c r="M12" s="9">
        <f>IF(AND(H12=0,I12=0,J12=0,K12=0,G12="received"),1,0)</f>
        <v/>
      </c>
      <c r="N12" s="10">
        <f>E12*M12</f>
        <v/>
      </c>
      <c r="O12" s="9">
        <f>IF(AND(D12&gt;=Dashboard!$C$5,D12&lt;=Dashboard!$C$6),1,0)</f>
        <v/>
      </c>
      <c r="P12" s="10">
        <f>N12*O12</f>
        <v/>
      </c>
      <c r="Q12" s="9">
        <f>IF(H12=1,"Исключено: дубль",IF(I12=1,"Исключено: нет объекта",IF(K12=1,"Исключено: нет брони",IF(J12=1,"Исключено: сумма 0","OK"))))</f>
        <v/>
      </c>
    </row>
    <row r="13">
      <c r="A13" s="9">
        <f>raw_payments!A13</f>
        <v/>
      </c>
      <c r="B13" s="9">
        <f>raw_payments!B13</f>
        <v/>
      </c>
      <c r="C13" s="9">
        <f>raw_payments!C13</f>
        <v/>
      </c>
      <c r="D13" s="24">
        <f>raw_payments!D13</f>
        <v/>
      </c>
      <c r="E13" s="10">
        <f>raw_payments!E13</f>
        <v/>
      </c>
      <c r="F13" s="9">
        <f>raw_payments!F13</f>
        <v/>
      </c>
      <c r="G13" s="9">
        <f>raw_payments!G13</f>
        <v/>
      </c>
      <c r="H13" s="9">
        <f>IF(COUNTIF(A$2:A13,A13)&gt;1,1,0)</f>
        <v/>
      </c>
      <c r="I13" s="9">
        <f>IF(COUNTIF(properties!$A$2:$A$21,C13)=0,1,0)</f>
        <v/>
      </c>
      <c r="J13" s="9">
        <f>IF(E13&lt;=0,1,0)</f>
        <v/>
      </c>
      <c r="K13" s="9">
        <f>IF(COUNTIF(raw_reservations!$A$2:$A$152,B13)=0,1,0)</f>
        <v/>
      </c>
      <c r="L13" s="9">
        <f>IF(K13=1,0,IF(INDEX(raw_reservations!$B$2:$B$152,MATCH(B13,raw_reservations!$A$2:$A$152,0))&lt;&gt;C13,1,0))</f>
        <v/>
      </c>
      <c r="M13" s="9">
        <f>IF(AND(H13=0,I13=0,J13=0,K13=0,G13="received"),1,0)</f>
        <v/>
      </c>
      <c r="N13" s="10">
        <f>E13*M13</f>
        <v/>
      </c>
      <c r="O13" s="9">
        <f>IF(AND(D13&gt;=Dashboard!$C$5,D13&lt;=Dashboard!$C$6),1,0)</f>
        <v/>
      </c>
      <c r="P13" s="10">
        <f>N13*O13</f>
        <v/>
      </c>
      <c r="Q13" s="9">
        <f>IF(H13=1,"Исключено: дубль",IF(I13=1,"Исключено: нет объекта",IF(K13=1,"Исключено: нет брони",IF(J13=1,"Исключено: сумма 0","OK"))))</f>
        <v/>
      </c>
    </row>
    <row r="14">
      <c r="A14" s="9">
        <f>raw_payments!A14</f>
        <v/>
      </c>
      <c r="B14" s="9">
        <f>raw_payments!B14</f>
        <v/>
      </c>
      <c r="C14" s="9">
        <f>raw_payments!C14</f>
        <v/>
      </c>
      <c r="D14" s="24">
        <f>raw_payments!D14</f>
        <v/>
      </c>
      <c r="E14" s="10">
        <f>raw_payments!E14</f>
        <v/>
      </c>
      <c r="F14" s="9">
        <f>raw_payments!F14</f>
        <v/>
      </c>
      <c r="G14" s="9">
        <f>raw_payments!G14</f>
        <v/>
      </c>
      <c r="H14" s="9">
        <f>IF(COUNTIF(A$2:A14,A14)&gt;1,1,0)</f>
        <v/>
      </c>
      <c r="I14" s="9">
        <f>IF(COUNTIF(properties!$A$2:$A$21,C14)=0,1,0)</f>
        <v/>
      </c>
      <c r="J14" s="9">
        <f>IF(E14&lt;=0,1,0)</f>
        <v/>
      </c>
      <c r="K14" s="9">
        <f>IF(COUNTIF(raw_reservations!$A$2:$A$152,B14)=0,1,0)</f>
        <v/>
      </c>
      <c r="L14" s="9">
        <f>IF(K14=1,0,IF(INDEX(raw_reservations!$B$2:$B$152,MATCH(B14,raw_reservations!$A$2:$A$152,0))&lt;&gt;C14,1,0))</f>
        <v/>
      </c>
      <c r="M14" s="9">
        <f>IF(AND(H14=0,I14=0,J14=0,K14=0,G14="received"),1,0)</f>
        <v/>
      </c>
      <c r="N14" s="10">
        <f>E14*M14</f>
        <v/>
      </c>
      <c r="O14" s="9">
        <f>IF(AND(D14&gt;=Dashboard!$C$5,D14&lt;=Dashboard!$C$6),1,0)</f>
        <v/>
      </c>
      <c r="P14" s="10">
        <f>N14*O14</f>
        <v/>
      </c>
      <c r="Q14" s="9">
        <f>IF(H14=1,"Исключено: дубль",IF(I14=1,"Исключено: нет объекта",IF(K14=1,"Исключено: нет брони",IF(J14=1,"Исключено: сумма 0","OK"))))</f>
        <v/>
      </c>
    </row>
    <row r="15">
      <c r="A15" s="9">
        <f>raw_payments!A15</f>
        <v/>
      </c>
      <c r="B15" s="9">
        <f>raw_payments!B15</f>
        <v/>
      </c>
      <c r="C15" s="9">
        <f>raw_payments!C15</f>
        <v/>
      </c>
      <c r="D15" s="24">
        <f>raw_payments!D15</f>
        <v/>
      </c>
      <c r="E15" s="10">
        <f>raw_payments!E15</f>
        <v/>
      </c>
      <c r="F15" s="9">
        <f>raw_payments!F15</f>
        <v/>
      </c>
      <c r="G15" s="9">
        <f>raw_payments!G15</f>
        <v/>
      </c>
      <c r="H15" s="9">
        <f>IF(COUNTIF(A$2:A15,A15)&gt;1,1,0)</f>
        <v/>
      </c>
      <c r="I15" s="9">
        <f>IF(COUNTIF(properties!$A$2:$A$21,C15)=0,1,0)</f>
        <v/>
      </c>
      <c r="J15" s="9">
        <f>IF(E15&lt;=0,1,0)</f>
        <v/>
      </c>
      <c r="K15" s="9">
        <f>IF(COUNTIF(raw_reservations!$A$2:$A$152,B15)=0,1,0)</f>
        <v/>
      </c>
      <c r="L15" s="9">
        <f>IF(K15=1,0,IF(INDEX(raw_reservations!$B$2:$B$152,MATCH(B15,raw_reservations!$A$2:$A$152,0))&lt;&gt;C15,1,0))</f>
        <v/>
      </c>
      <c r="M15" s="9">
        <f>IF(AND(H15=0,I15=0,J15=0,K15=0,G15="received"),1,0)</f>
        <v/>
      </c>
      <c r="N15" s="10">
        <f>E15*M15</f>
        <v/>
      </c>
      <c r="O15" s="9">
        <f>IF(AND(D15&gt;=Dashboard!$C$5,D15&lt;=Dashboard!$C$6),1,0)</f>
        <v/>
      </c>
      <c r="P15" s="10">
        <f>N15*O15</f>
        <v/>
      </c>
      <c r="Q15" s="9">
        <f>IF(H15=1,"Исключено: дубль",IF(I15=1,"Исключено: нет объекта",IF(K15=1,"Исключено: нет брони",IF(J15=1,"Исключено: сумма 0","OK"))))</f>
        <v/>
      </c>
    </row>
    <row r="16">
      <c r="A16" s="9">
        <f>raw_payments!A16</f>
        <v/>
      </c>
      <c r="B16" s="9">
        <f>raw_payments!B16</f>
        <v/>
      </c>
      <c r="C16" s="9">
        <f>raw_payments!C16</f>
        <v/>
      </c>
      <c r="D16" s="24">
        <f>raw_payments!D16</f>
        <v/>
      </c>
      <c r="E16" s="10">
        <f>raw_payments!E16</f>
        <v/>
      </c>
      <c r="F16" s="9">
        <f>raw_payments!F16</f>
        <v/>
      </c>
      <c r="G16" s="9">
        <f>raw_payments!G16</f>
        <v/>
      </c>
      <c r="H16" s="9">
        <f>IF(COUNTIF(A$2:A16,A16)&gt;1,1,0)</f>
        <v/>
      </c>
      <c r="I16" s="9">
        <f>IF(COUNTIF(properties!$A$2:$A$21,C16)=0,1,0)</f>
        <v/>
      </c>
      <c r="J16" s="9">
        <f>IF(E16&lt;=0,1,0)</f>
        <v/>
      </c>
      <c r="K16" s="9">
        <f>IF(COUNTIF(raw_reservations!$A$2:$A$152,B16)=0,1,0)</f>
        <v/>
      </c>
      <c r="L16" s="9">
        <f>IF(K16=1,0,IF(INDEX(raw_reservations!$B$2:$B$152,MATCH(B16,raw_reservations!$A$2:$A$152,0))&lt;&gt;C16,1,0))</f>
        <v/>
      </c>
      <c r="M16" s="9">
        <f>IF(AND(H16=0,I16=0,J16=0,K16=0,G16="received"),1,0)</f>
        <v/>
      </c>
      <c r="N16" s="10">
        <f>E16*M16</f>
        <v/>
      </c>
      <c r="O16" s="9">
        <f>IF(AND(D16&gt;=Dashboard!$C$5,D16&lt;=Dashboard!$C$6),1,0)</f>
        <v/>
      </c>
      <c r="P16" s="10">
        <f>N16*O16</f>
        <v/>
      </c>
      <c r="Q16" s="9">
        <f>IF(H16=1,"Исключено: дубль",IF(I16=1,"Исключено: нет объекта",IF(K16=1,"Исключено: нет брони",IF(J16=1,"Исключено: сумма 0","OK"))))</f>
        <v/>
      </c>
    </row>
    <row r="17">
      <c r="A17" s="9">
        <f>raw_payments!A17</f>
        <v/>
      </c>
      <c r="B17" s="9">
        <f>raw_payments!B17</f>
        <v/>
      </c>
      <c r="C17" s="9">
        <f>raw_payments!C17</f>
        <v/>
      </c>
      <c r="D17" s="24">
        <f>raw_payments!D17</f>
        <v/>
      </c>
      <c r="E17" s="10">
        <f>raw_payments!E17</f>
        <v/>
      </c>
      <c r="F17" s="9">
        <f>raw_payments!F17</f>
        <v/>
      </c>
      <c r="G17" s="9">
        <f>raw_payments!G17</f>
        <v/>
      </c>
      <c r="H17" s="9">
        <f>IF(COUNTIF(A$2:A17,A17)&gt;1,1,0)</f>
        <v/>
      </c>
      <c r="I17" s="9">
        <f>IF(COUNTIF(properties!$A$2:$A$21,C17)=0,1,0)</f>
        <v/>
      </c>
      <c r="J17" s="9">
        <f>IF(E17&lt;=0,1,0)</f>
        <v/>
      </c>
      <c r="K17" s="9">
        <f>IF(COUNTIF(raw_reservations!$A$2:$A$152,B17)=0,1,0)</f>
        <v/>
      </c>
      <c r="L17" s="9">
        <f>IF(K17=1,0,IF(INDEX(raw_reservations!$B$2:$B$152,MATCH(B17,raw_reservations!$A$2:$A$152,0))&lt;&gt;C17,1,0))</f>
        <v/>
      </c>
      <c r="M17" s="9">
        <f>IF(AND(H17=0,I17=0,J17=0,K17=0,G17="received"),1,0)</f>
        <v/>
      </c>
      <c r="N17" s="10">
        <f>E17*M17</f>
        <v/>
      </c>
      <c r="O17" s="9">
        <f>IF(AND(D17&gt;=Dashboard!$C$5,D17&lt;=Dashboard!$C$6),1,0)</f>
        <v/>
      </c>
      <c r="P17" s="10">
        <f>N17*O17</f>
        <v/>
      </c>
      <c r="Q17" s="9">
        <f>IF(H17=1,"Исключено: дубль",IF(I17=1,"Исключено: нет объекта",IF(K17=1,"Исключено: нет брони",IF(J17=1,"Исключено: сумма 0","OK"))))</f>
        <v/>
      </c>
    </row>
    <row r="18">
      <c r="A18" s="9">
        <f>raw_payments!A18</f>
        <v/>
      </c>
      <c r="B18" s="9">
        <f>raw_payments!B18</f>
        <v/>
      </c>
      <c r="C18" s="9">
        <f>raw_payments!C18</f>
        <v/>
      </c>
      <c r="D18" s="24">
        <f>raw_payments!D18</f>
        <v/>
      </c>
      <c r="E18" s="10">
        <f>raw_payments!E18</f>
        <v/>
      </c>
      <c r="F18" s="9">
        <f>raw_payments!F18</f>
        <v/>
      </c>
      <c r="G18" s="9">
        <f>raw_payments!G18</f>
        <v/>
      </c>
      <c r="H18" s="9">
        <f>IF(COUNTIF(A$2:A18,A18)&gt;1,1,0)</f>
        <v/>
      </c>
      <c r="I18" s="9">
        <f>IF(COUNTIF(properties!$A$2:$A$21,C18)=0,1,0)</f>
        <v/>
      </c>
      <c r="J18" s="9">
        <f>IF(E18&lt;=0,1,0)</f>
        <v/>
      </c>
      <c r="K18" s="9">
        <f>IF(COUNTIF(raw_reservations!$A$2:$A$152,B18)=0,1,0)</f>
        <v/>
      </c>
      <c r="L18" s="9">
        <f>IF(K18=1,0,IF(INDEX(raw_reservations!$B$2:$B$152,MATCH(B18,raw_reservations!$A$2:$A$152,0))&lt;&gt;C18,1,0))</f>
        <v/>
      </c>
      <c r="M18" s="9">
        <f>IF(AND(H18=0,I18=0,J18=0,K18=0,G18="received"),1,0)</f>
        <v/>
      </c>
      <c r="N18" s="10">
        <f>E18*M18</f>
        <v/>
      </c>
      <c r="O18" s="9">
        <f>IF(AND(D18&gt;=Dashboard!$C$5,D18&lt;=Dashboard!$C$6),1,0)</f>
        <v/>
      </c>
      <c r="P18" s="10">
        <f>N18*O18</f>
        <v/>
      </c>
      <c r="Q18" s="9">
        <f>IF(H18=1,"Исключено: дубль",IF(I18=1,"Исключено: нет объекта",IF(K18=1,"Исключено: нет брони",IF(J18=1,"Исключено: сумма 0","OK"))))</f>
        <v/>
      </c>
    </row>
    <row r="19">
      <c r="A19" s="9">
        <f>raw_payments!A19</f>
        <v/>
      </c>
      <c r="B19" s="9">
        <f>raw_payments!B19</f>
        <v/>
      </c>
      <c r="C19" s="9">
        <f>raw_payments!C19</f>
        <v/>
      </c>
      <c r="D19" s="24">
        <f>raw_payments!D19</f>
        <v/>
      </c>
      <c r="E19" s="10">
        <f>raw_payments!E19</f>
        <v/>
      </c>
      <c r="F19" s="9">
        <f>raw_payments!F19</f>
        <v/>
      </c>
      <c r="G19" s="9">
        <f>raw_payments!G19</f>
        <v/>
      </c>
      <c r="H19" s="9">
        <f>IF(COUNTIF(A$2:A19,A19)&gt;1,1,0)</f>
        <v/>
      </c>
      <c r="I19" s="9">
        <f>IF(COUNTIF(properties!$A$2:$A$21,C19)=0,1,0)</f>
        <v/>
      </c>
      <c r="J19" s="9">
        <f>IF(E19&lt;=0,1,0)</f>
        <v/>
      </c>
      <c r="K19" s="9">
        <f>IF(COUNTIF(raw_reservations!$A$2:$A$152,B19)=0,1,0)</f>
        <v/>
      </c>
      <c r="L19" s="9">
        <f>IF(K19=1,0,IF(INDEX(raw_reservations!$B$2:$B$152,MATCH(B19,raw_reservations!$A$2:$A$152,0))&lt;&gt;C19,1,0))</f>
        <v/>
      </c>
      <c r="M19" s="9">
        <f>IF(AND(H19=0,I19=0,J19=0,K19=0,G19="received"),1,0)</f>
        <v/>
      </c>
      <c r="N19" s="10">
        <f>E19*M19</f>
        <v/>
      </c>
      <c r="O19" s="9">
        <f>IF(AND(D19&gt;=Dashboard!$C$5,D19&lt;=Dashboard!$C$6),1,0)</f>
        <v/>
      </c>
      <c r="P19" s="10">
        <f>N19*O19</f>
        <v/>
      </c>
      <c r="Q19" s="9">
        <f>IF(H19=1,"Исключено: дубль",IF(I19=1,"Исключено: нет объекта",IF(K19=1,"Исключено: нет брони",IF(J19=1,"Исключено: сумма 0","OK"))))</f>
        <v/>
      </c>
    </row>
    <row r="20">
      <c r="A20" s="9">
        <f>raw_payments!A20</f>
        <v/>
      </c>
      <c r="B20" s="9">
        <f>raw_payments!B20</f>
        <v/>
      </c>
      <c r="C20" s="9">
        <f>raw_payments!C20</f>
        <v/>
      </c>
      <c r="D20" s="24">
        <f>raw_payments!D20</f>
        <v/>
      </c>
      <c r="E20" s="10">
        <f>raw_payments!E20</f>
        <v/>
      </c>
      <c r="F20" s="9">
        <f>raw_payments!F20</f>
        <v/>
      </c>
      <c r="G20" s="9">
        <f>raw_payments!G20</f>
        <v/>
      </c>
      <c r="H20" s="9">
        <f>IF(COUNTIF(A$2:A20,A20)&gt;1,1,0)</f>
        <v/>
      </c>
      <c r="I20" s="9">
        <f>IF(COUNTIF(properties!$A$2:$A$21,C20)=0,1,0)</f>
        <v/>
      </c>
      <c r="J20" s="9">
        <f>IF(E20&lt;=0,1,0)</f>
        <v/>
      </c>
      <c r="K20" s="9">
        <f>IF(COUNTIF(raw_reservations!$A$2:$A$152,B20)=0,1,0)</f>
        <v/>
      </c>
      <c r="L20" s="9">
        <f>IF(K20=1,0,IF(INDEX(raw_reservations!$B$2:$B$152,MATCH(B20,raw_reservations!$A$2:$A$152,0))&lt;&gt;C20,1,0))</f>
        <v/>
      </c>
      <c r="M20" s="9">
        <f>IF(AND(H20=0,I20=0,J20=0,K20=0,G20="received"),1,0)</f>
        <v/>
      </c>
      <c r="N20" s="10">
        <f>E20*M20</f>
        <v/>
      </c>
      <c r="O20" s="9">
        <f>IF(AND(D20&gt;=Dashboard!$C$5,D20&lt;=Dashboard!$C$6),1,0)</f>
        <v/>
      </c>
      <c r="P20" s="10">
        <f>N20*O20</f>
        <v/>
      </c>
      <c r="Q20" s="9">
        <f>IF(H20=1,"Исключено: дубль",IF(I20=1,"Исключено: нет объекта",IF(K20=1,"Исключено: нет брони",IF(J20=1,"Исключено: сумма 0","OK"))))</f>
        <v/>
      </c>
    </row>
    <row r="21">
      <c r="A21" s="9">
        <f>raw_payments!A21</f>
        <v/>
      </c>
      <c r="B21" s="9">
        <f>raw_payments!B21</f>
        <v/>
      </c>
      <c r="C21" s="9">
        <f>raw_payments!C21</f>
        <v/>
      </c>
      <c r="D21" s="24">
        <f>raw_payments!D21</f>
        <v/>
      </c>
      <c r="E21" s="10">
        <f>raw_payments!E21</f>
        <v/>
      </c>
      <c r="F21" s="9">
        <f>raw_payments!F21</f>
        <v/>
      </c>
      <c r="G21" s="9">
        <f>raw_payments!G21</f>
        <v/>
      </c>
      <c r="H21" s="9">
        <f>IF(COUNTIF(A$2:A21,A21)&gt;1,1,0)</f>
        <v/>
      </c>
      <c r="I21" s="9">
        <f>IF(COUNTIF(properties!$A$2:$A$21,C21)=0,1,0)</f>
        <v/>
      </c>
      <c r="J21" s="9">
        <f>IF(E21&lt;=0,1,0)</f>
        <v/>
      </c>
      <c r="K21" s="9">
        <f>IF(COUNTIF(raw_reservations!$A$2:$A$152,B21)=0,1,0)</f>
        <v/>
      </c>
      <c r="L21" s="9">
        <f>IF(K21=1,0,IF(INDEX(raw_reservations!$B$2:$B$152,MATCH(B21,raw_reservations!$A$2:$A$152,0))&lt;&gt;C21,1,0))</f>
        <v/>
      </c>
      <c r="M21" s="9">
        <f>IF(AND(H21=0,I21=0,J21=0,K21=0,G21="received"),1,0)</f>
        <v/>
      </c>
      <c r="N21" s="10">
        <f>E21*M21</f>
        <v/>
      </c>
      <c r="O21" s="9">
        <f>IF(AND(D21&gt;=Dashboard!$C$5,D21&lt;=Dashboard!$C$6),1,0)</f>
        <v/>
      </c>
      <c r="P21" s="10">
        <f>N21*O21</f>
        <v/>
      </c>
      <c r="Q21" s="9">
        <f>IF(H21=1,"Исключено: дубль",IF(I21=1,"Исключено: нет объекта",IF(K21=1,"Исключено: нет брони",IF(J21=1,"Исключено: сумма 0","OK"))))</f>
        <v/>
      </c>
    </row>
    <row r="22">
      <c r="A22" s="9">
        <f>raw_payments!A22</f>
        <v/>
      </c>
      <c r="B22" s="9">
        <f>raw_payments!B22</f>
        <v/>
      </c>
      <c r="C22" s="9">
        <f>raw_payments!C22</f>
        <v/>
      </c>
      <c r="D22" s="24">
        <f>raw_payments!D22</f>
        <v/>
      </c>
      <c r="E22" s="10">
        <f>raw_payments!E22</f>
        <v/>
      </c>
      <c r="F22" s="9">
        <f>raw_payments!F22</f>
        <v/>
      </c>
      <c r="G22" s="9">
        <f>raw_payments!G22</f>
        <v/>
      </c>
      <c r="H22" s="9">
        <f>IF(COUNTIF(A$2:A22,A22)&gt;1,1,0)</f>
        <v/>
      </c>
      <c r="I22" s="9">
        <f>IF(COUNTIF(properties!$A$2:$A$21,C22)=0,1,0)</f>
        <v/>
      </c>
      <c r="J22" s="9">
        <f>IF(E22&lt;=0,1,0)</f>
        <v/>
      </c>
      <c r="K22" s="9">
        <f>IF(COUNTIF(raw_reservations!$A$2:$A$152,B22)=0,1,0)</f>
        <v/>
      </c>
      <c r="L22" s="9">
        <f>IF(K22=1,0,IF(INDEX(raw_reservations!$B$2:$B$152,MATCH(B22,raw_reservations!$A$2:$A$152,0))&lt;&gt;C22,1,0))</f>
        <v/>
      </c>
      <c r="M22" s="9">
        <f>IF(AND(H22=0,I22=0,J22=0,K22=0,G22="received"),1,0)</f>
        <v/>
      </c>
      <c r="N22" s="10">
        <f>E22*M22</f>
        <v/>
      </c>
      <c r="O22" s="9">
        <f>IF(AND(D22&gt;=Dashboard!$C$5,D22&lt;=Dashboard!$C$6),1,0)</f>
        <v/>
      </c>
      <c r="P22" s="10">
        <f>N22*O22</f>
        <v/>
      </c>
      <c r="Q22" s="9">
        <f>IF(H22=1,"Исключено: дубль",IF(I22=1,"Исключено: нет объекта",IF(K22=1,"Исключено: нет брони",IF(J22=1,"Исключено: сумма 0","OK"))))</f>
        <v/>
      </c>
    </row>
    <row r="23">
      <c r="A23" s="9">
        <f>raw_payments!A23</f>
        <v/>
      </c>
      <c r="B23" s="9">
        <f>raw_payments!B23</f>
        <v/>
      </c>
      <c r="C23" s="9">
        <f>raw_payments!C23</f>
        <v/>
      </c>
      <c r="D23" s="24">
        <f>raw_payments!D23</f>
        <v/>
      </c>
      <c r="E23" s="10">
        <f>raw_payments!E23</f>
        <v/>
      </c>
      <c r="F23" s="9">
        <f>raw_payments!F23</f>
        <v/>
      </c>
      <c r="G23" s="9">
        <f>raw_payments!G23</f>
        <v/>
      </c>
      <c r="H23" s="9">
        <f>IF(COUNTIF(A$2:A23,A23)&gt;1,1,0)</f>
        <v/>
      </c>
      <c r="I23" s="9">
        <f>IF(COUNTIF(properties!$A$2:$A$21,C23)=0,1,0)</f>
        <v/>
      </c>
      <c r="J23" s="9">
        <f>IF(E23&lt;=0,1,0)</f>
        <v/>
      </c>
      <c r="K23" s="9">
        <f>IF(COUNTIF(raw_reservations!$A$2:$A$152,B23)=0,1,0)</f>
        <v/>
      </c>
      <c r="L23" s="9">
        <f>IF(K23=1,0,IF(INDEX(raw_reservations!$B$2:$B$152,MATCH(B23,raw_reservations!$A$2:$A$152,0))&lt;&gt;C23,1,0))</f>
        <v/>
      </c>
      <c r="M23" s="9">
        <f>IF(AND(H23=0,I23=0,J23=0,K23=0,G23="received"),1,0)</f>
        <v/>
      </c>
      <c r="N23" s="10">
        <f>E23*M23</f>
        <v/>
      </c>
      <c r="O23" s="9">
        <f>IF(AND(D23&gt;=Dashboard!$C$5,D23&lt;=Dashboard!$C$6),1,0)</f>
        <v/>
      </c>
      <c r="P23" s="10">
        <f>N23*O23</f>
        <v/>
      </c>
      <c r="Q23" s="9">
        <f>IF(H23=1,"Исключено: дубль",IF(I23=1,"Исключено: нет объекта",IF(K23=1,"Исключено: нет брони",IF(J23=1,"Исключено: сумма 0","OK"))))</f>
        <v/>
      </c>
    </row>
    <row r="24">
      <c r="A24" s="9">
        <f>raw_payments!A24</f>
        <v/>
      </c>
      <c r="B24" s="9">
        <f>raw_payments!B24</f>
        <v/>
      </c>
      <c r="C24" s="9">
        <f>raw_payments!C24</f>
        <v/>
      </c>
      <c r="D24" s="24">
        <f>raw_payments!D24</f>
        <v/>
      </c>
      <c r="E24" s="10">
        <f>raw_payments!E24</f>
        <v/>
      </c>
      <c r="F24" s="9">
        <f>raw_payments!F24</f>
        <v/>
      </c>
      <c r="G24" s="9">
        <f>raw_payments!G24</f>
        <v/>
      </c>
      <c r="H24" s="9">
        <f>IF(COUNTIF(A$2:A24,A24)&gt;1,1,0)</f>
        <v/>
      </c>
      <c r="I24" s="9">
        <f>IF(COUNTIF(properties!$A$2:$A$21,C24)=0,1,0)</f>
        <v/>
      </c>
      <c r="J24" s="9">
        <f>IF(E24&lt;=0,1,0)</f>
        <v/>
      </c>
      <c r="K24" s="9">
        <f>IF(COUNTIF(raw_reservations!$A$2:$A$152,B24)=0,1,0)</f>
        <v/>
      </c>
      <c r="L24" s="9">
        <f>IF(K24=1,0,IF(INDEX(raw_reservations!$B$2:$B$152,MATCH(B24,raw_reservations!$A$2:$A$152,0))&lt;&gt;C24,1,0))</f>
        <v/>
      </c>
      <c r="M24" s="9">
        <f>IF(AND(H24=0,I24=0,J24=0,K24=0,G24="received"),1,0)</f>
        <v/>
      </c>
      <c r="N24" s="10">
        <f>E24*M24</f>
        <v/>
      </c>
      <c r="O24" s="9">
        <f>IF(AND(D24&gt;=Dashboard!$C$5,D24&lt;=Dashboard!$C$6),1,0)</f>
        <v/>
      </c>
      <c r="P24" s="10">
        <f>N24*O24</f>
        <v/>
      </c>
      <c r="Q24" s="9">
        <f>IF(H24=1,"Исключено: дубль",IF(I24=1,"Исключено: нет объекта",IF(K24=1,"Исключено: нет брони",IF(J24=1,"Исключено: сумма 0","OK"))))</f>
        <v/>
      </c>
    </row>
    <row r="25">
      <c r="A25" s="9">
        <f>raw_payments!A25</f>
        <v/>
      </c>
      <c r="B25" s="9">
        <f>raw_payments!B25</f>
        <v/>
      </c>
      <c r="C25" s="9">
        <f>raw_payments!C25</f>
        <v/>
      </c>
      <c r="D25" s="24">
        <f>raw_payments!D25</f>
        <v/>
      </c>
      <c r="E25" s="10">
        <f>raw_payments!E25</f>
        <v/>
      </c>
      <c r="F25" s="9">
        <f>raw_payments!F25</f>
        <v/>
      </c>
      <c r="G25" s="9">
        <f>raw_payments!G25</f>
        <v/>
      </c>
      <c r="H25" s="9">
        <f>IF(COUNTIF(A$2:A25,A25)&gt;1,1,0)</f>
        <v/>
      </c>
      <c r="I25" s="9">
        <f>IF(COUNTIF(properties!$A$2:$A$21,C25)=0,1,0)</f>
        <v/>
      </c>
      <c r="J25" s="9">
        <f>IF(E25&lt;=0,1,0)</f>
        <v/>
      </c>
      <c r="K25" s="9">
        <f>IF(COUNTIF(raw_reservations!$A$2:$A$152,B25)=0,1,0)</f>
        <v/>
      </c>
      <c r="L25" s="9">
        <f>IF(K25=1,0,IF(INDEX(raw_reservations!$B$2:$B$152,MATCH(B25,raw_reservations!$A$2:$A$152,0))&lt;&gt;C25,1,0))</f>
        <v/>
      </c>
      <c r="M25" s="9">
        <f>IF(AND(H25=0,I25=0,J25=0,K25=0,G25="received"),1,0)</f>
        <v/>
      </c>
      <c r="N25" s="10">
        <f>E25*M25</f>
        <v/>
      </c>
      <c r="O25" s="9">
        <f>IF(AND(D25&gt;=Dashboard!$C$5,D25&lt;=Dashboard!$C$6),1,0)</f>
        <v/>
      </c>
      <c r="P25" s="10">
        <f>N25*O25</f>
        <v/>
      </c>
      <c r="Q25" s="9">
        <f>IF(H25=1,"Исключено: дубль",IF(I25=1,"Исключено: нет объекта",IF(K25=1,"Исключено: нет брони",IF(J25=1,"Исключено: сумма 0","OK"))))</f>
        <v/>
      </c>
    </row>
    <row r="26">
      <c r="A26" s="9">
        <f>raw_payments!A26</f>
        <v/>
      </c>
      <c r="B26" s="9">
        <f>raw_payments!B26</f>
        <v/>
      </c>
      <c r="C26" s="9">
        <f>raw_payments!C26</f>
        <v/>
      </c>
      <c r="D26" s="24">
        <f>raw_payments!D26</f>
        <v/>
      </c>
      <c r="E26" s="10">
        <f>raw_payments!E26</f>
        <v/>
      </c>
      <c r="F26" s="9">
        <f>raw_payments!F26</f>
        <v/>
      </c>
      <c r="G26" s="9">
        <f>raw_payments!G26</f>
        <v/>
      </c>
      <c r="H26" s="9">
        <f>IF(COUNTIF(A$2:A26,A26)&gt;1,1,0)</f>
        <v/>
      </c>
      <c r="I26" s="9">
        <f>IF(COUNTIF(properties!$A$2:$A$21,C26)=0,1,0)</f>
        <v/>
      </c>
      <c r="J26" s="9">
        <f>IF(E26&lt;=0,1,0)</f>
        <v/>
      </c>
      <c r="K26" s="9">
        <f>IF(COUNTIF(raw_reservations!$A$2:$A$152,B26)=0,1,0)</f>
        <v/>
      </c>
      <c r="L26" s="9">
        <f>IF(K26=1,0,IF(INDEX(raw_reservations!$B$2:$B$152,MATCH(B26,raw_reservations!$A$2:$A$152,0))&lt;&gt;C26,1,0))</f>
        <v/>
      </c>
      <c r="M26" s="9">
        <f>IF(AND(H26=0,I26=0,J26=0,K26=0,G26="received"),1,0)</f>
        <v/>
      </c>
      <c r="N26" s="10">
        <f>E26*M26</f>
        <v/>
      </c>
      <c r="O26" s="9">
        <f>IF(AND(D26&gt;=Dashboard!$C$5,D26&lt;=Dashboard!$C$6),1,0)</f>
        <v/>
      </c>
      <c r="P26" s="10">
        <f>N26*O26</f>
        <v/>
      </c>
      <c r="Q26" s="9">
        <f>IF(H26=1,"Исключено: дубль",IF(I26=1,"Исключено: нет объекта",IF(K26=1,"Исключено: нет брони",IF(J26=1,"Исключено: сумма 0","OK"))))</f>
        <v/>
      </c>
    </row>
    <row r="27">
      <c r="A27" s="9">
        <f>raw_payments!A27</f>
        <v/>
      </c>
      <c r="B27" s="9">
        <f>raw_payments!B27</f>
        <v/>
      </c>
      <c r="C27" s="9">
        <f>raw_payments!C27</f>
        <v/>
      </c>
      <c r="D27" s="24">
        <f>raw_payments!D27</f>
        <v/>
      </c>
      <c r="E27" s="10">
        <f>raw_payments!E27</f>
        <v/>
      </c>
      <c r="F27" s="9">
        <f>raw_payments!F27</f>
        <v/>
      </c>
      <c r="G27" s="9">
        <f>raw_payments!G27</f>
        <v/>
      </c>
      <c r="H27" s="9">
        <f>IF(COUNTIF(A$2:A27,A27)&gt;1,1,0)</f>
        <v/>
      </c>
      <c r="I27" s="9">
        <f>IF(COUNTIF(properties!$A$2:$A$21,C27)=0,1,0)</f>
        <v/>
      </c>
      <c r="J27" s="9">
        <f>IF(E27&lt;=0,1,0)</f>
        <v/>
      </c>
      <c r="K27" s="9">
        <f>IF(COUNTIF(raw_reservations!$A$2:$A$152,B27)=0,1,0)</f>
        <v/>
      </c>
      <c r="L27" s="9">
        <f>IF(K27=1,0,IF(INDEX(raw_reservations!$B$2:$B$152,MATCH(B27,raw_reservations!$A$2:$A$152,0))&lt;&gt;C27,1,0))</f>
        <v/>
      </c>
      <c r="M27" s="9">
        <f>IF(AND(H27=0,I27=0,J27=0,K27=0,G27="received"),1,0)</f>
        <v/>
      </c>
      <c r="N27" s="10">
        <f>E27*M27</f>
        <v/>
      </c>
      <c r="O27" s="9">
        <f>IF(AND(D27&gt;=Dashboard!$C$5,D27&lt;=Dashboard!$C$6),1,0)</f>
        <v/>
      </c>
      <c r="P27" s="10">
        <f>N27*O27</f>
        <v/>
      </c>
      <c r="Q27" s="9">
        <f>IF(H27=1,"Исключено: дубль",IF(I27=1,"Исключено: нет объекта",IF(K27=1,"Исключено: нет брони",IF(J27=1,"Исключено: сумма 0","OK"))))</f>
        <v/>
      </c>
    </row>
    <row r="28">
      <c r="A28" s="9">
        <f>raw_payments!A28</f>
        <v/>
      </c>
      <c r="B28" s="9">
        <f>raw_payments!B28</f>
        <v/>
      </c>
      <c r="C28" s="9">
        <f>raw_payments!C28</f>
        <v/>
      </c>
      <c r="D28" s="24">
        <f>raw_payments!D28</f>
        <v/>
      </c>
      <c r="E28" s="10">
        <f>raw_payments!E28</f>
        <v/>
      </c>
      <c r="F28" s="9">
        <f>raw_payments!F28</f>
        <v/>
      </c>
      <c r="G28" s="9">
        <f>raw_payments!G28</f>
        <v/>
      </c>
      <c r="H28" s="9">
        <f>IF(COUNTIF(A$2:A28,A28)&gt;1,1,0)</f>
        <v/>
      </c>
      <c r="I28" s="9">
        <f>IF(COUNTIF(properties!$A$2:$A$21,C28)=0,1,0)</f>
        <v/>
      </c>
      <c r="J28" s="9">
        <f>IF(E28&lt;=0,1,0)</f>
        <v/>
      </c>
      <c r="K28" s="9">
        <f>IF(COUNTIF(raw_reservations!$A$2:$A$152,B28)=0,1,0)</f>
        <v/>
      </c>
      <c r="L28" s="9">
        <f>IF(K28=1,0,IF(INDEX(raw_reservations!$B$2:$B$152,MATCH(B28,raw_reservations!$A$2:$A$152,0))&lt;&gt;C28,1,0))</f>
        <v/>
      </c>
      <c r="M28" s="9">
        <f>IF(AND(H28=0,I28=0,J28=0,K28=0,G28="received"),1,0)</f>
        <v/>
      </c>
      <c r="N28" s="10">
        <f>E28*M28</f>
        <v/>
      </c>
      <c r="O28" s="9">
        <f>IF(AND(D28&gt;=Dashboard!$C$5,D28&lt;=Dashboard!$C$6),1,0)</f>
        <v/>
      </c>
      <c r="P28" s="10">
        <f>N28*O28</f>
        <v/>
      </c>
      <c r="Q28" s="9">
        <f>IF(H28=1,"Исключено: дубль",IF(I28=1,"Исключено: нет объекта",IF(K28=1,"Исключено: нет брони",IF(J28=1,"Исключено: сумма 0","OK"))))</f>
        <v/>
      </c>
    </row>
    <row r="29">
      <c r="A29" s="9">
        <f>raw_payments!A29</f>
        <v/>
      </c>
      <c r="B29" s="9">
        <f>raw_payments!B29</f>
        <v/>
      </c>
      <c r="C29" s="9">
        <f>raw_payments!C29</f>
        <v/>
      </c>
      <c r="D29" s="24">
        <f>raw_payments!D29</f>
        <v/>
      </c>
      <c r="E29" s="10">
        <f>raw_payments!E29</f>
        <v/>
      </c>
      <c r="F29" s="9">
        <f>raw_payments!F29</f>
        <v/>
      </c>
      <c r="G29" s="9">
        <f>raw_payments!G29</f>
        <v/>
      </c>
      <c r="H29" s="9">
        <f>IF(COUNTIF(A$2:A29,A29)&gt;1,1,0)</f>
        <v/>
      </c>
      <c r="I29" s="9">
        <f>IF(COUNTIF(properties!$A$2:$A$21,C29)=0,1,0)</f>
        <v/>
      </c>
      <c r="J29" s="9">
        <f>IF(E29&lt;=0,1,0)</f>
        <v/>
      </c>
      <c r="K29" s="9">
        <f>IF(COUNTIF(raw_reservations!$A$2:$A$152,B29)=0,1,0)</f>
        <v/>
      </c>
      <c r="L29" s="9">
        <f>IF(K29=1,0,IF(INDEX(raw_reservations!$B$2:$B$152,MATCH(B29,raw_reservations!$A$2:$A$152,0))&lt;&gt;C29,1,0))</f>
        <v/>
      </c>
      <c r="M29" s="9">
        <f>IF(AND(H29=0,I29=0,J29=0,K29=0,G29="received"),1,0)</f>
        <v/>
      </c>
      <c r="N29" s="10">
        <f>E29*M29</f>
        <v/>
      </c>
      <c r="O29" s="9">
        <f>IF(AND(D29&gt;=Dashboard!$C$5,D29&lt;=Dashboard!$C$6),1,0)</f>
        <v/>
      </c>
      <c r="P29" s="10">
        <f>N29*O29</f>
        <v/>
      </c>
      <c r="Q29" s="9">
        <f>IF(H29=1,"Исключено: дубль",IF(I29=1,"Исключено: нет объекта",IF(K29=1,"Исключено: нет брони",IF(J29=1,"Исключено: сумма 0","OK"))))</f>
        <v/>
      </c>
    </row>
    <row r="30">
      <c r="A30" s="9">
        <f>raw_payments!A30</f>
        <v/>
      </c>
      <c r="B30" s="9">
        <f>raw_payments!B30</f>
        <v/>
      </c>
      <c r="C30" s="9">
        <f>raw_payments!C30</f>
        <v/>
      </c>
      <c r="D30" s="24">
        <f>raw_payments!D30</f>
        <v/>
      </c>
      <c r="E30" s="10">
        <f>raw_payments!E30</f>
        <v/>
      </c>
      <c r="F30" s="9">
        <f>raw_payments!F30</f>
        <v/>
      </c>
      <c r="G30" s="9">
        <f>raw_payments!G30</f>
        <v/>
      </c>
      <c r="H30" s="9">
        <f>IF(COUNTIF(A$2:A30,A30)&gt;1,1,0)</f>
        <v/>
      </c>
      <c r="I30" s="9">
        <f>IF(COUNTIF(properties!$A$2:$A$21,C30)=0,1,0)</f>
        <v/>
      </c>
      <c r="J30" s="9">
        <f>IF(E30&lt;=0,1,0)</f>
        <v/>
      </c>
      <c r="K30" s="9">
        <f>IF(COUNTIF(raw_reservations!$A$2:$A$152,B30)=0,1,0)</f>
        <v/>
      </c>
      <c r="L30" s="9">
        <f>IF(K30=1,0,IF(INDEX(raw_reservations!$B$2:$B$152,MATCH(B30,raw_reservations!$A$2:$A$152,0))&lt;&gt;C30,1,0))</f>
        <v/>
      </c>
      <c r="M30" s="9">
        <f>IF(AND(H30=0,I30=0,J30=0,K30=0,G30="received"),1,0)</f>
        <v/>
      </c>
      <c r="N30" s="10">
        <f>E30*M30</f>
        <v/>
      </c>
      <c r="O30" s="9">
        <f>IF(AND(D30&gt;=Dashboard!$C$5,D30&lt;=Dashboard!$C$6),1,0)</f>
        <v/>
      </c>
      <c r="P30" s="10">
        <f>N30*O30</f>
        <v/>
      </c>
      <c r="Q30" s="9">
        <f>IF(H30=1,"Исключено: дубль",IF(I30=1,"Исключено: нет объекта",IF(K30=1,"Исключено: нет брони",IF(J30=1,"Исключено: сумма 0","OK"))))</f>
        <v/>
      </c>
    </row>
    <row r="31">
      <c r="A31" s="9">
        <f>raw_payments!A31</f>
        <v/>
      </c>
      <c r="B31" s="9">
        <f>raw_payments!B31</f>
        <v/>
      </c>
      <c r="C31" s="9">
        <f>raw_payments!C31</f>
        <v/>
      </c>
      <c r="D31" s="24">
        <f>raw_payments!D31</f>
        <v/>
      </c>
      <c r="E31" s="10">
        <f>raw_payments!E31</f>
        <v/>
      </c>
      <c r="F31" s="9">
        <f>raw_payments!F31</f>
        <v/>
      </c>
      <c r="G31" s="9">
        <f>raw_payments!G31</f>
        <v/>
      </c>
      <c r="H31" s="9">
        <f>IF(COUNTIF(A$2:A31,A31)&gt;1,1,0)</f>
        <v/>
      </c>
      <c r="I31" s="9">
        <f>IF(COUNTIF(properties!$A$2:$A$21,C31)=0,1,0)</f>
        <v/>
      </c>
      <c r="J31" s="9">
        <f>IF(E31&lt;=0,1,0)</f>
        <v/>
      </c>
      <c r="K31" s="9">
        <f>IF(COUNTIF(raw_reservations!$A$2:$A$152,B31)=0,1,0)</f>
        <v/>
      </c>
      <c r="L31" s="9">
        <f>IF(K31=1,0,IF(INDEX(raw_reservations!$B$2:$B$152,MATCH(B31,raw_reservations!$A$2:$A$152,0))&lt;&gt;C31,1,0))</f>
        <v/>
      </c>
      <c r="M31" s="9">
        <f>IF(AND(H31=0,I31=0,J31=0,K31=0,G31="received"),1,0)</f>
        <v/>
      </c>
      <c r="N31" s="10">
        <f>E31*M31</f>
        <v/>
      </c>
      <c r="O31" s="9">
        <f>IF(AND(D31&gt;=Dashboard!$C$5,D31&lt;=Dashboard!$C$6),1,0)</f>
        <v/>
      </c>
      <c r="P31" s="10">
        <f>N31*O31</f>
        <v/>
      </c>
      <c r="Q31" s="9">
        <f>IF(H31=1,"Исключено: дубль",IF(I31=1,"Исключено: нет объекта",IF(K31=1,"Исключено: нет брони",IF(J31=1,"Исключено: сумма 0","OK"))))</f>
        <v/>
      </c>
    </row>
    <row r="32">
      <c r="A32" s="9">
        <f>raw_payments!A32</f>
        <v/>
      </c>
      <c r="B32" s="9">
        <f>raw_payments!B32</f>
        <v/>
      </c>
      <c r="C32" s="9">
        <f>raw_payments!C32</f>
        <v/>
      </c>
      <c r="D32" s="24">
        <f>raw_payments!D32</f>
        <v/>
      </c>
      <c r="E32" s="10">
        <f>raw_payments!E32</f>
        <v/>
      </c>
      <c r="F32" s="9">
        <f>raw_payments!F32</f>
        <v/>
      </c>
      <c r="G32" s="9">
        <f>raw_payments!G32</f>
        <v/>
      </c>
      <c r="H32" s="9">
        <f>IF(COUNTIF(A$2:A32,A32)&gt;1,1,0)</f>
        <v/>
      </c>
      <c r="I32" s="9">
        <f>IF(COUNTIF(properties!$A$2:$A$21,C32)=0,1,0)</f>
        <v/>
      </c>
      <c r="J32" s="9">
        <f>IF(E32&lt;=0,1,0)</f>
        <v/>
      </c>
      <c r="K32" s="9">
        <f>IF(COUNTIF(raw_reservations!$A$2:$A$152,B32)=0,1,0)</f>
        <v/>
      </c>
      <c r="L32" s="9">
        <f>IF(K32=1,0,IF(INDEX(raw_reservations!$B$2:$B$152,MATCH(B32,raw_reservations!$A$2:$A$152,0))&lt;&gt;C32,1,0))</f>
        <v/>
      </c>
      <c r="M32" s="9">
        <f>IF(AND(H32=0,I32=0,J32=0,K32=0,G32="received"),1,0)</f>
        <v/>
      </c>
      <c r="N32" s="10">
        <f>E32*M32</f>
        <v/>
      </c>
      <c r="O32" s="9">
        <f>IF(AND(D32&gt;=Dashboard!$C$5,D32&lt;=Dashboard!$C$6),1,0)</f>
        <v/>
      </c>
      <c r="P32" s="10">
        <f>N32*O32</f>
        <v/>
      </c>
      <c r="Q32" s="9">
        <f>IF(H32=1,"Исключено: дубль",IF(I32=1,"Исключено: нет объекта",IF(K32=1,"Исключено: нет брони",IF(J32=1,"Исключено: сумма 0","OK"))))</f>
        <v/>
      </c>
    </row>
    <row r="33">
      <c r="A33" s="9">
        <f>raw_payments!A33</f>
        <v/>
      </c>
      <c r="B33" s="9">
        <f>raw_payments!B33</f>
        <v/>
      </c>
      <c r="C33" s="9">
        <f>raw_payments!C33</f>
        <v/>
      </c>
      <c r="D33" s="24">
        <f>raw_payments!D33</f>
        <v/>
      </c>
      <c r="E33" s="10">
        <f>raw_payments!E33</f>
        <v/>
      </c>
      <c r="F33" s="9">
        <f>raw_payments!F33</f>
        <v/>
      </c>
      <c r="G33" s="9">
        <f>raw_payments!G33</f>
        <v/>
      </c>
      <c r="H33" s="9">
        <f>IF(COUNTIF(A$2:A33,A33)&gt;1,1,0)</f>
        <v/>
      </c>
      <c r="I33" s="9">
        <f>IF(COUNTIF(properties!$A$2:$A$21,C33)=0,1,0)</f>
        <v/>
      </c>
      <c r="J33" s="9">
        <f>IF(E33&lt;=0,1,0)</f>
        <v/>
      </c>
      <c r="K33" s="9">
        <f>IF(COUNTIF(raw_reservations!$A$2:$A$152,B33)=0,1,0)</f>
        <v/>
      </c>
      <c r="L33" s="9">
        <f>IF(K33=1,0,IF(INDEX(raw_reservations!$B$2:$B$152,MATCH(B33,raw_reservations!$A$2:$A$152,0))&lt;&gt;C33,1,0))</f>
        <v/>
      </c>
      <c r="M33" s="9">
        <f>IF(AND(H33=0,I33=0,J33=0,K33=0,G33="received"),1,0)</f>
        <v/>
      </c>
      <c r="N33" s="10">
        <f>E33*M33</f>
        <v/>
      </c>
      <c r="O33" s="9">
        <f>IF(AND(D33&gt;=Dashboard!$C$5,D33&lt;=Dashboard!$C$6),1,0)</f>
        <v/>
      </c>
      <c r="P33" s="10">
        <f>N33*O33</f>
        <v/>
      </c>
      <c r="Q33" s="9">
        <f>IF(H33=1,"Исключено: дубль",IF(I33=1,"Исключено: нет объекта",IF(K33=1,"Исключено: нет брони",IF(J33=1,"Исключено: сумма 0","OK"))))</f>
        <v/>
      </c>
    </row>
    <row r="34">
      <c r="A34" s="9">
        <f>raw_payments!A34</f>
        <v/>
      </c>
      <c r="B34" s="9">
        <f>raw_payments!B34</f>
        <v/>
      </c>
      <c r="C34" s="9">
        <f>raw_payments!C34</f>
        <v/>
      </c>
      <c r="D34" s="24">
        <f>raw_payments!D34</f>
        <v/>
      </c>
      <c r="E34" s="10">
        <f>raw_payments!E34</f>
        <v/>
      </c>
      <c r="F34" s="9">
        <f>raw_payments!F34</f>
        <v/>
      </c>
      <c r="G34" s="9">
        <f>raw_payments!G34</f>
        <v/>
      </c>
      <c r="H34" s="9">
        <f>IF(COUNTIF(A$2:A34,A34)&gt;1,1,0)</f>
        <v/>
      </c>
      <c r="I34" s="9">
        <f>IF(COUNTIF(properties!$A$2:$A$21,C34)=0,1,0)</f>
        <v/>
      </c>
      <c r="J34" s="9">
        <f>IF(E34&lt;=0,1,0)</f>
        <v/>
      </c>
      <c r="K34" s="9">
        <f>IF(COUNTIF(raw_reservations!$A$2:$A$152,B34)=0,1,0)</f>
        <v/>
      </c>
      <c r="L34" s="9">
        <f>IF(K34=1,0,IF(INDEX(raw_reservations!$B$2:$B$152,MATCH(B34,raw_reservations!$A$2:$A$152,0))&lt;&gt;C34,1,0))</f>
        <v/>
      </c>
      <c r="M34" s="9">
        <f>IF(AND(H34=0,I34=0,J34=0,K34=0,G34="received"),1,0)</f>
        <v/>
      </c>
      <c r="N34" s="10">
        <f>E34*M34</f>
        <v/>
      </c>
      <c r="O34" s="9">
        <f>IF(AND(D34&gt;=Dashboard!$C$5,D34&lt;=Dashboard!$C$6),1,0)</f>
        <v/>
      </c>
      <c r="P34" s="10">
        <f>N34*O34</f>
        <v/>
      </c>
      <c r="Q34" s="9">
        <f>IF(H34=1,"Исключено: дубль",IF(I34=1,"Исключено: нет объекта",IF(K34=1,"Исключено: нет брони",IF(J34=1,"Исключено: сумма 0","OK"))))</f>
        <v/>
      </c>
    </row>
    <row r="35">
      <c r="A35" s="9">
        <f>raw_payments!A35</f>
        <v/>
      </c>
      <c r="B35" s="9">
        <f>raw_payments!B35</f>
        <v/>
      </c>
      <c r="C35" s="9">
        <f>raw_payments!C35</f>
        <v/>
      </c>
      <c r="D35" s="24">
        <f>raw_payments!D35</f>
        <v/>
      </c>
      <c r="E35" s="10">
        <f>raw_payments!E35</f>
        <v/>
      </c>
      <c r="F35" s="9">
        <f>raw_payments!F35</f>
        <v/>
      </c>
      <c r="G35" s="9">
        <f>raw_payments!G35</f>
        <v/>
      </c>
      <c r="H35" s="9">
        <f>IF(COUNTIF(A$2:A35,A35)&gt;1,1,0)</f>
        <v/>
      </c>
      <c r="I35" s="9">
        <f>IF(COUNTIF(properties!$A$2:$A$21,C35)=0,1,0)</f>
        <v/>
      </c>
      <c r="J35" s="9">
        <f>IF(E35&lt;=0,1,0)</f>
        <v/>
      </c>
      <c r="K35" s="9">
        <f>IF(COUNTIF(raw_reservations!$A$2:$A$152,B35)=0,1,0)</f>
        <v/>
      </c>
      <c r="L35" s="9">
        <f>IF(K35=1,0,IF(INDEX(raw_reservations!$B$2:$B$152,MATCH(B35,raw_reservations!$A$2:$A$152,0))&lt;&gt;C35,1,0))</f>
        <v/>
      </c>
      <c r="M35" s="9">
        <f>IF(AND(H35=0,I35=0,J35=0,K35=0,G35="received"),1,0)</f>
        <v/>
      </c>
      <c r="N35" s="10">
        <f>E35*M35</f>
        <v/>
      </c>
      <c r="O35" s="9">
        <f>IF(AND(D35&gt;=Dashboard!$C$5,D35&lt;=Dashboard!$C$6),1,0)</f>
        <v/>
      </c>
      <c r="P35" s="10">
        <f>N35*O35</f>
        <v/>
      </c>
      <c r="Q35" s="9">
        <f>IF(H35=1,"Исключено: дубль",IF(I35=1,"Исключено: нет объекта",IF(K35=1,"Исключено: нет брони",IF(J35=1,"Исключено: сумма 0","OK"))))</f>
        <v/>
      </c>
    </row>
    <row r="36">
      <c r="A36" s="9">
        <f>raw_payments!A36</f>
        <v/>
      </c>
      <c r="B36" s="9">
        <f>raw_payments!B36</f>
        <v/>
      </c>
      <c r="C36" s="9">
        <f>raw_payments!C36</f>
        <v/>
      </c>
      <c r="D36" s="24">
        <f>raw_payments!D36</f>
        <v/>
      </c>
      <c r="E36" s="10">
        <f>raw_payments!E36</f>
        <v/>
      </c>
      <c r="F36" s="9">
        <f>raw_payments!F36</f>
        <v/>
      </c>
      <c r="G36" s="9">
        <f>raw_payments!G36</f>
        <v/>
      </c>
      <c r="H36" s="9">
        <f>IF(COUNTIF(A$2:A36,A36)&gt;1,1,0)</f>
        <v/>
      </c>
      <c r="I36" s="9">
        <f>IF(COUNTIF(properties!$A$2:$A$21,C36)=0,1,0)</f>
        <v/>
      </c>
      <c r="J36" s="9">
        <f>IF(E36&lt;=0,1,0)</f>
        <v/>
      </c>
      <c r="K36" s="9">
        <f>IF(COUNTIF(raw_reservations!$A$2:$A$152,B36)=0,1,0)</f>
        <v/>
      </c>
      <c r="L36" s="9">
        <f>IF(K36=1,0,IF(INDEX(raw_reservations!$B$2:$B$152,MATCH(B36,raw_reservations!$A$2:$A$152,0))&lt;&gt;C36,1,0))</f>
        <v/>
      </c>
      <c r="M36" s="9">
        <f>IF(AND(H36=0,I36=0,J36=0,K36=0,G36="received"),1,0)</f>
        <v/>
      </c>
      <c r="N36" s="10">
        <f>E36*M36</f>
        <v/>
      </c>
      <c r="O36" s="9">
        <f>IF(AND(D36&gt;=Dashboard!$C$5,D36&lt;=Dashboard!$C$6),1,0)</f>
        <v/>
      </c>
      <c r="P36" s="10">
        <f>N36*O36</f>
        <v/>
      </c>
      <c r="Q36" s="9">
        <f>IF(H36=1,"Исключено: дубль",IF(I36=1,"Исключено: нет объекта",IF(K36=1,"Исключено: нет брони",IF(J36=1,"Исключено: сумма 0","OK"))))</f>
        <v/>
      </c>
    </row>
    <row r="37">
      <c r="A37" s="9">
        <f>raw_payments!A37</f>
        <v/>
      </c>
      <c r="B37" s="9">
        <f>raw_payments!B37</f>
        <v/>
      </c>
      <c r="C37" s="9">
        <f>raw_payments!C37</f>
        <v/>
      </c>
      <c r="D37" s="24">
        <f>raw_payments!D37</f>
        <v/>
      </c>
      <c r="E37" s="10">
        <f>raw_payments!E37</f>
        <v/>
      </c>
      <c r="F37" s="9">
        <f>raw_payments!F37</f>
        <v/>
      </c>
      <c r="G37" s="9">
        <f>raw_payments!G37</f>
        <v/>
      </c>
      <c r="H37" s="9">
        <f>IF(COUNTIF(A$2:A37,A37)&gt;1,1,0)</f>
        <v/>
      </c>
      <c r="I37" s="9">
        <f>IF(COUNTIF(properties!$A$2:$A$21,C37)=0,1,0)</f>
        <v/>
      </c>
      <c r="J37" s="9">
        <f>IF(E37&lt;=0,1,0)</f>
        <v/>
      </c>
      <c r="K37" s="9">
        <f>IF(COUNTIF(raw_reservations!$A$2:$A$152,B37)=0,1,0)</f>
        <v/>
      </c>
      <c r="L37" s="9">
        <f>IF(K37=1,0,IF(INDEX(raw_reservations!$B$2:$B$152,MATCH(B37,raw_reservations!$A$2:$A$152,0))&lt;&gt;C37,1,0))</f>
        <v/>
      </c>
      <c r="M37" s="9">
        <f>IF(AND(H37=0,I37=0,J37=0,K37=0,G37="received"),1,0)</f>
        <v/>
      </c>
      <c r="N37" s="10">
        <f>E37*M37</f>
        <v/>
      </c>
      <c r="O37" s="9">
        <f>IF(AND(D37&gt;=Dashboard!$C$5,D37&lt;=Dashboard!$C$6),1,0)</f>
        <v/>
      </c>
      <c r="P37" s="10">
        <f>N37*O37</f>
        <v/>
      </c>
      <c r="Q37" s="9">
        <f>IF(H37=1,"Исключено: дубль",IF(I37=1,"Исключено: нет объекта",IF(K37=1,"Исключено: нет брони",IF(J37=1,"Исключено: сумма 0","OK"))))</f>
        <v/>
      </c>
    </row>
    <row r="38">
      <c r="A38" s="9">
        <f>raw_payments!A38</f>
        <v/>
      </c>
      <c r="B38" s="9">
        <f>raw_payments!B38</f>
        <v/>
      </c>
      <c r="C38" s="9">
        <f>raw_payments!C38</f>
        <v/>
      </c>
      <c r="D38" s="24">
        <f>raw_payments!D38</f>
        <v/>
      </c>
      <c r="E38" s="10">
        <f>raw_payments!E38</f>
        <v/>
      </c>
      <c r="F38" s="9">
        <f>raw_payments!F38</f>
        <v/>
      </c>
      <c r="G38" s="9">
        <f>raw_payments!G38</f>
        <v/>
      </c>
      <c r="H38" s="9">
        <f>IF(COUNTIF(A$2:A38,A38)&gt;1,1,0)</f>
        <v/>
      </c>
      <c r="I38" s="9">
        <f>IF(COUNTIF(properties!$A$2:$A$21,C38)=0,1,0)</f>
        <v/>
      </c>
      <c r="J38" s="9">
        <f>IF(E38&lt;=0,1,0)</f>
        <v/>
      </c>
      <c r="K38" s="9">
        <f>IF(COUNTIF(raw_reservations!$A$2:$A$152,B38)=0,1,0)</f>
        <v/>
      </c>
      <c r="L38" s="9">
        <f>IF(K38=1,0,IF(INDEX(raw_reservations!$B$2:$B$152,MATCH(B38,raw_reservations!$A$2:$A$152,0))&lt;&gt;C38,1,0))</f>
        <v/>
      </c>
      <c r="M38" s="9">
        <f>IF(AND(H38=0,I38=0,J38=0,K38=0,G38="received"),1,0)</f>
        <v/>
      </c>
      <c r="N38" s="10">
        <f>E38*M38</f>
        <v/>
      </c>
      <c r="O38" s="9">
        <f>IF(AND(D38&gt;=Dashboard!$C$5,D38&lt;=Dashboard!$C$6),1,0)</f>
        <v/>
      </c>
      <c r="P38" s="10">
        <f>N38*O38</f>
        <v/>
      </c>
      <c r="Q38" s="9">
        <f>IF(H38=1,"Исключено: дубль",IF(I38=1,"Исключено: нет объекта",IF(K38=1,"Исключено: нет брони",IF(J38=1,"Исключено: сумма 0","OK"))))</f>
        <v/>
      </c>
    </row>
    <row r="39">
      <c r="A39" s="9">
        <f>raw_payments!A39</f>
        <v/>
      </c>
      <c r="B39" s="9">
        <f>raw_payments!B39</f>
        <v/>
      </c>
      <c r="C39" s="9">
        <f>raw_payments!C39</f>
        <v/>
      </c>
      <c r="D39" s="24">
        <f>raw_payments!D39</f>
        <v/>
      </c>
      <c r="E39" s="10">
        <f>raw_payments!E39</f>
        <v/>
      </c>
      <c r="F39" s="9">
        <f>raw_payments!F39</f>
        <v/>
      </c>
      <c r="G39" s="9">
        <f>raw_payments!G39</f>
        <v/>
      </c>
      <c r="H39" s="9">
        <f>IF(COUNTIF(A$2:A39,A39)&gt;1,1,0)</f>
        <v/>
      </c>
      <c r="I39" s="9">
        <f>IF(COUNTIF(properties!$A$2:$A$21,C39)=0,1,0)</f>
        <v/>
      </c>
      <c r="J39" s="9">
        <f>IF(E39&lt;=0,1,0)</f>
        <v/>
      </c>
      <c r="K39" s="9">
        <f>IF(COUNTIF(raw_reservations!$A$2:$A$152,B39)=0,1,0)</f>
        <v/>
      </c>
      <c r="L39" s="9">
        <f>IF(K39=1,0,IF(INDEX(raw_reservations!$B$2:$B$152,MATCH(B39,raw_reservations!$A$2:$A$152,0))&lt;&gt;C39,1,0))</f>
        <v/>
      </c>
      <c r="M39" s="9">
        <f>IF(AND(H39=0,I39=0,J39=0,K39=0,G39="received"),1,0)</f>
        <v/>
      </c>
      <c r="N39" s="10">
        <f>E39*M39</f>
        <v/>
      </c>
      <c r="O39" s="9">
        <f>IF(AND(D39&gt;=Dashboard!$C$5,D39&lt;=Dashboard!$C$6),1,0)</f>
        <v/>
      </c>
      <c r="P39" s="10">
        <f>N39*O39</f>
        <v/>
      </c>
      <c r="Q39" s="9">
        <f>IF(H39=1,"Исключено: дубль",IF(I39=1,"Исключено: нет объекта",IF(K39=1,"Исключено: нет брони",IF(J39=1,"Исключено: сумма 0","OK"))))</f>
        <v/>
      </c>
    </row>
    <row r="40">
      <c r="A40" s="9">
        <f>raw_payments!A40</f>
        <v/>
      </c>
      <c r="B40" s="9">
        <f>raw_payments!B40</f>
        <v/>
      </c>
      <c r="C40" s="9">
        <f>raw_payments!C40</f>
        <v/>
      </c>
      <c r="D40" s="24">
        <f>raw_payments!D40</f>
        <v/>
      </c>
      <c r="E40" s="10">
        <f>raw_payments!E40</f>
        <v/>
      </c>
      <c r="F40" s="9">
        <f>raw_payments!F40</f>
        <v/>
      </c>
      <c r="G40" s="9">
        <f>raw_payments!G40</f>
        <v/>
      </c>
      <c r="H40" s="9">
        <f>IF(COUNTIF(A$2:A40,A40)&gt;1,1,0)</f>
        <v/>
      </c>
      <c r="I40" s="9">
        <f>IF(COUNTIF(properties!$A$2:$A$21,C40)=0,1,0)</f>
        <v/>
      </c>
      <c r="J40" s="9">
        <f>IF(E40&lt;=0,1,0)</f>
        <v/>
      </c>
      <c r="K40" s="9">
        <f>IF(COUNTIF(raw_reservations!$A$2:$A$152,B40)=0,1,0)</f>
        <v/>
      </c>
      <c r="L40" s="9">
        <f>IF(K40=1,0,IF(INDEX(raw_reservations!$B$2:$B$152,MATCH(B40,raw_reservations!$A$2:$A$152,0))&lt;&gt;C40,1,0))</f>
        <v/>
      </c>
      <c r="M40" s="9">
        <f>IF(AND(H40=0,I40=0,J40=0,K40=0,G40="received"),1,0)</f>
        <v/>
      </c>
      <c r="N40" s="10">
        <f>E40*M40</f>
        <v/>
      </c>
      <c r="O40" s="9">
        <f>IF(AND(D40&gt;=Dashboard!$C$5,D40&lt;=Dashboard!$C$6),1,0)</f>
        <v/>
      </c>
      <c r="P40" s="10">
        <f>N40*O40</f>
        <v/>
      </c>
      <c r="Q40" s="9">
        <f>IF(H40=1,"Исключено: дубль",IF(I40=1,"Исключено: нет объекта",IF(K40=1,"Исключено: нет брони",IF(J40=1,"Исключено: сумма 0","OK"))))</f>
        <v/>
      </c>
    </row>
    <row r="41">
      <c r="A41" s="9">
        <f>raw_payments!A41</f>
        <v/>
      </c>
      <c r="B41" s="9">
        <f>raw_payments!B41</f>
        <v/>
      </c>
      <c r="C41" s="9">
        <f>raw_payments!C41</f>
        <v/>
      </c>
      <c r="D41" s="24">
        <f>raw_payments!D41</f>
        <v/>
      </c>
      <c r="E41" s="10">
        <f>raw_payments!E41</f>
        <v/>
      </c>
      <c r="F41" s="9">
        <f>raw_payments!F41</f>
        <v/>
      </c>
      <c r="G41" s="9">
        <f>raw_payments!G41</f>
        <v/>
      </c>
      <c r="H41" s="9">
        <f>IF(COUNTIF(A$2:A41,A41)&gt;1,1,0)</f>
        <v/>
      </c>
      <c r="I41" s="9">
        <f>IF(COUNTIF(properties!$A$2:$A$21,C41)=0,1,0)</f>
        <v/>
      </c>
      <c r="J41" s="9">
        <f>IF(E41&lt;=0,1,0)</f>
        <v/>
      </c>
      <c r="K41" s="9">
        <f>IF(COUNTIF(raw_reservations!$A$2:$A$152,B41)=0,1,0)</f>
        <v/>
      </c>
      <c r="L41" s="9">
        <f>IF(K41=1,0,IF(INDEX(raw_reservations!$B$2:$B$152,MATCH(B41,raw_reservations!$A$2:$A$152,0))&lt;&gt;C41,1,0))</f>
        <v/>
      </c>
      <c r="M41" s="9">
        <f>IF(AND(H41=0,I41=0,J41=0,K41=0,G41="received"),1,0)</f>
        <v/>
      </c>
      <c r="N41" s="10">
        <f>E41*M41</f>
        <v/>
      </c>
      <c r="O41" s="9">
        <f>IF(AND(D41&gt;=Dashboard!$C$5,D41&lt;=Dashboard!$C$6),1,0)</f>
        <v/>
      </c>
      <c r="P41" s="10">
        <f>N41*O41</f>
        <v/>
      </c>
      <c r="Q41" s="9">
        <f>IF(H41=1,"Исключено: дубль",IF(I41=1,"Исключено: нет объекта",IF(K41=1,"Исключено: нет брони",IF(J41=1,"Исключено: сумма 0","OK"))))</f>
        <v/>
      </c>
    </row>
    <row r="42">
      <c r="A42" s="9">
        <f>raw_payments!A42</f>
        <v/>
      </c>
      <c r="B42" s="9">
        <f>raw_payments!B42</f>
        <v/>
      </c>
      <c r="C42" s="9">
        <f>raw_payments!C42</f>
        <v/>
      </c>
      <c r="D42" s="24">
        <f>raw_payments!D42</f>
        <v/>
      </c>
      <c r="E42" s="10">
        <f>raw_payments!E42</f>
        <v/>
      </c>
      <c r="F42" s="9">
        <f>raw_payments!F42</f>
        <v/>
      </c>
      <c r="G42" s="9">
        <f>raw_payments!G42</f>
        <v/>
      </c>
      <c r="H42" s="9">
        <f>IF(COUNTIF(A$2:A42,A42)&gt;1,1,0)</f>
        <v/>
      </c>
      <c r="I42" s="9">
        <f>IF(COUNTIF(properties!$A$2:$A$21,C42)=0,1,0)</f>
        <v/>
      </c>
      <c r="J42" s="9">
        <f>IF(E42&lt;=0,1,0)</f>
        <v/>
      </c>
      <c r="K42" s="9">
        <f>IF(COUNTIF(raw_reservations!$A$2:$A$152,B42)=0,1,0)</f>
        <v/>
      </c>
      <c r="L42" s="9">
        <f>IF(K42=1,0,IF(INDEX(raw_reservations!$B$2:$B$152,MATCH(B42,raw_reservations!$A$2:$A$152,0))&lt;&gt;C42,1,0))</f>
        <v/>
      </c>
      <c r="M42" s="9">
        <f>IF(AND(H42=0,I42=0,J42=0,K42=0,G42="received"),1,0)</f>
        <v/>
      </c>
      <c r="N42" s="10">
        <f>E42*M42</f>
        <v/>
      </c>
      <c r="O42" s="9">
        <f>IF(AND(D42&gt;=Dashboard!$C$5,D42&lt;=Dashboard!$C$6),1,0)</f>
        <v/>
      </c>
      <c r="P42" s="10">
        <f>N42*O42</f>
        <v/>
      </c>
      <c r="Q42" s="9">
        <f>IF(H42=1,"Исключено: дубль",IF(I42=1,"Исключено: нет объекта",IF(K42=1,"Исключено: нет брони",IF(J42=1,"Исключено: сумма 0","OK"))))</f>
        <v/>
      </c>
    </row>
    <row r="43">
      <c r="A43" s="9">
        <f>raw_payments!A43</f>
        <v/>
      </c>
      <c r="B43" s="9">
        <f>raw_payments!B43</f>
        <v/>
      </c>
      <c r="C43" s="9">
        <f>raw_payments!C43</f>
        <v/>
      </c>
      <c r="D43" s="24">
        <f>raw_payments!D43</f>
        <v/>
      </c>
      <c r="E43" s="10">
        <f>raw_payments!E43</f>
        <v/>
      </c>
      <c r="F43" s="9">
        <f>raw_payments!F43</f>
        <v/>
      </c>
      <c r="G43" s="9">
        <f>raw_payments!G43</f>
        <v/>
      </c>
      <c r="H43" s="9">
        <f>IF(COUNTIF(A$2:A43,A43)&gt;1,1,0)</f>
        <v/>
      </c>
      <c r="I43" s="9">
        <f>IF(COUNTIF(properties!$A$2:$A$21,C43)=0,1,0)</f>
        <v/>
      </c>
      <c r="J43" s="9">
        <f>IF(E43&lt;=0,1,0)</f>
        <v/>
      </c>
      <c r="K43" s="9">
        <f>IF(COUNTIF(raw_reservations!$A$2:$A$152,B43)=0,1,0)</f>
        <v/>
      </c>
      <c r="L43" s="9">
        <f>IF(K43=1,0,IF(INDEX(raw_reservations!$B$2:$B$152,MATCH(B43,raw_reservations!$A$2:$A$152,0))&lt;&gt;C43,1,0))</f>
        <v/>
      </c>
      <c r="M43" s="9">
        <f>IF(AND(H43=0,I43=0,J43=0,K43=0,G43="received"),1,0)</f>
        <v/>
      </c>
      <c r="N43" s="10">
        <f>E43*M43</f>
        <v/>
      </c>
      <c r="O43" s="9">
        <f>IF(AND(D43&gt;=Dashboard!$C$5,D43&lt;=Dashboard!$C$6),1,0)</f>
        <v/>
      </c>
      <c r="P43" s="10">
        <f>N43*O43</f>
        <v/>
      </c>
      <c r="Q43" s="9">
        <f>IF(H43=1,"Исключено: дубль",IF(I43=1,"Исключено: нет объекта",IF(K43=1,"Исключено: нет брони",IF(J43=1,"Исключено: сумма 0","OK"))))</f>
        <v/>
      </c>
    </row>
    <row r="44">
      <c r="A44" s="9">
        <f>raw_payments!A44</f>
        <v/>
      </c>
      <c r="B44" s="9">
        <f>raw_payments!B44</f>
        <v/>
      </c>
      <c r="C44" s="9">
        <f>raw_payments!C44</f>
        <v/>
      </c>
      <c r="D44" s="24">
        <f>raw_payments!D44</f>
        <v/>
      </c>
      <c r="E44" s="10">
        <f>raw_payments!E44</f>
        <v/>
      </c>
      <c r="F44" s="9">
        <f>raw_payments!F44</f>
        <v/>
      </c>
      <c r="G44" s="9">
        <f>raw_payments!G44</f>
        <v/>
      </c>
      <c r="H44" s="9">
        <f>IF(COUNTIF(A$2:A44,A44)&gt;1,1,0)</f>
        <v/>
      </c>
      <c r="I44" s="9">
        <f>IF(COUNTIF(properties!$A$2:$A$21,C44)=0,1,0)</f>
        <v/>
      </c>
      <c r="J44" s="9">
        <f>IF(E44&lt;=0,1,0)</f>
        <v/>
      </c>
      <c r="K44" s="9">
        <f>IF(COUNTIF(raw_reservations!$A$2:$A$152,B44)=0,1,0)</f>
        <v/>
      </c>
      <c r="L44" s="9">
        <f>IF(K44=1,0,IF(INDEX(raw_reservations!$B$2:$B$152,MATCH(B44,raw_reservations!$A$2:$A$152,0))&lt;&gt;C44,1,0))</f>
        <v/>
      </c>
      <c r="M44" s="9">
        <f>IF(AND(H44=0,I44=0,J44=0,K44=0,G44="received"),1,0)</f>
        <v/>
      </c>
      <c r="N44" s="10">
        <f>E44*M44</f>
        <v/>
      </c>
      <c r="O44" s="9">
        <f>IF(AND(D44&gt;=Dashboard!$C$5,D44&lt;=Dashboard!$C$6),1,0)</f>
        <v/>
      </c>
      <c r="P44" s="10">
        <f>N44*O44</f>
        <v/>
      </c>
      <c r="Q44" s="9">
        <f>IF(H44=1,"Исключено: дубль",IF(I44=1,"Исключено: нет объекта",IF(K44=1,"Исключено: нет брони",IF(J44=1,"Исключено: сумма 0","OK"))))</f>
        <v/>
      </c>
    </row>
    <row r="45">
      <c r="A45" s="9">
        <f>raw_payments!A45</f>
        <v/>
      </c>
      <c r="B45" s="9">
        <f>raw_payments!B45</f>
        <v/>
      </c>
      <c r="C45" s="9">
        <f>raw_payments!C45</f>
        <v/>
      </c>
      <c r="D45" s="24">
        <f>raw_payments!D45</f>
        <v/>
      </c>
      <c r="E45" s="10">
        <f>raw_payments!E45</f>
        <v/>
      </c>
      <c r="F45" s="9">
        <f>raw_payments!F45</f>
        <v/>
      </c>
      <c r="G45" s="9">
        <f>raw_payments!G45</f>
        <v/>
      </c>
      <c r="H45" s="9">
        <f>IF(COUNTIF(A$2:A45,A45)&gt;1,1,0)</f>
        <v/>
      </c>
      <c r="I45" s="9">
        <f>IF(COUNTIF(properties!$A$2:$A$21,C45)=0,1,0)</f>
        <v/>
      </c>
      <c r="J45" s="9">
        <f>IF(E45&lt;=0,1,0)</f>
        <v/>
      </c>
      <c r="K45" s="9">
        <f>IF(COUNTIF(raw_reservations!$A$2:$A$152,B45)=0,1,0)</f>
        <v/>
      </c>
      <c r="L45" s="9">
        <f>IF(K45=1,0,IF(INDEX(raw_reservations!$B$2:$B$152,MATCH(B45,raw_reservations!$A$2:$A$152,0))&lt;&gt;C45,1,0))</f>
        <v/>
      </c>
      <c r="M45" s="9">
        <f>IF(AND(H45=0,I45=0,J45=0,K45=0,G45="received"),1,0)</f>
        <v/>
      </c>
      <c r="N45" s="10">
        <f>E45*M45</f>
        <v/>
      </c>
      <c r="O45" s="9">
        <f>IF(AND(D45&gt;=Dashboard!$C$5,D45&lt;=Dashboard!$C$6),1,0)</f>
        <v/>
      </c>
      <c r="P45" s="10">
        <f>N45*O45</f>
        <v/>
      </c>
      <c r="Q45" s="9">
        <f>IF(H45=1,"Исключено: дубль",IF(I45=1,"Исключено: нет объекта",IF(K45=1,"Исключено: нет брони",IF(J45=1,"Исключено: сумма 0","OK"))))</f>
        <v/>
      </c>
    </row>
    <row r="46">
      <c r="A46" s="9">
        <f>raw_payments!A46</f>
        <v/>
      </c>
      <c r="B46" s="9">
        <f>raw_payments!B46</f>
        <v/>
      </c>
      <c r="C46" s="9">
        <f>raw_payments!C46</f>
        <v/>
      </c>
      <c r="D46" s="24">
        <f>raw_payments!D46</f>
        <v/>
      </c>
      <c r="E46" s="10">
        <f>raw_payments!E46</f>
        <v/>
      </c>
      <c r="F46" s="9">
        <f>raw_payments!F46</f>
        <v/>
      </c>
      <c r="G46" s="9">
        <f>raw_payments!G46</f>
        <v/>
      </c>
      <c r="H46" s="9">
        <f>IF(COUNTIF(A$2:A46,A46)&gt;1,1,0)</f>
        <v/>
      </c>
      <c r="I46" s="9">
        <f>IF(COUNTIF(properties!$A$2:$A$21,C46)=0,1,0)</f>
        <v/>
      </c>
      <c r="J46" s="9">
        <f>IF(E46&lt;=0,1,0)</f>
        <v/>
      </c>
      <c r="K46" s="9">
        <f>IF(COUNTIF(raw_reservations!$A$2:$A$152,B46)=0,1,0)</f>
        <v/>
      </c>
      <c r="L46" s="9">
        <f>IF(K46=1,0,IF(INDEX(raw_reservations!$B$2:$B$152,MATCH(B46,raw_reservations!$A$2:$A$152,0))&lt;&gt;C46,1,0))</f>
        <v/>
      </c>
      <c r="M46" s="9">
        <f>IF(AND(H46=0,I46=0,J46=0,K46=0,G46="received"),1,0)</f>
        <v/>
      </c>
      <c r="N46" s="10">
        <f>E46*M46</f>
        <v/>
      </c>
      <c r="O46" s="9">
        <f>IF(AND(D46&gt;=Dashboard!$C$5,D46&lt;=Dashboard!$C$6),1,0)</f>
        <v/>
      </c>
      <c r="P46" s="10">
        <f>N46*O46</f>
        <v/>
      </c>
      <c r="Q46" s="9">
        <f>IF(H46=1,"Исключено: дубль",IF(I46=1,"Исключено: нет объекта",IF(K46=1,"Исключено: нет брони",IF(J46=1,"Исключено: сумма 0","OK"))))</f>
        <v/>
      </c>
    </row>
    <row r="47">
      <c r="A47" s="9">
        <f>raw_payments!A47</f>
        <v/>
      </c>
      <c r="B47" s="9">
        <f>raw_payments!B47</f>
        <v/>
      </c>
      <c r="C47" s="9">
        <f>raw_payments!C47</f>
        <v/>
      </c>
      <c r="D47" s="24">
        <f>raw_payments!D47</f>
        <v/>
      </c>
      <c r="E47" s="10">
        <f>raw_payments!E47</f>
        <v/>
      </c>
      <c r="F47" s="9">
        <f>raw_payments!F47</f>
        <v/>
      </c>
      <c r="G47" s="9">
        <f>raw_payments!G47</f>
        <v/>
      </c>
      <c r="H47" s="9">
        <f>IF(COUNTIF(A$2:A47,A47)&gt;1,1,0)</f>
        <v/>
      </c>
      <c r="I47" s="9">
        <f>IF(COUNTIF(properties!$A$2:$A$21,C47)=0,1,0)</f>
        <v/>
      </c>
      <c r="J47" s="9">
        <f>IF(E47&lt;=0,1,0)</f>
        <v/>
      </c>
      <c r="K47" s="9">
        <f>IF(COUNTIF(raw_reservations!$A$2:$A$152,B47)=0,1,0)</f>
        <v/>
      </c>
      <c r="L47" s="9">
        <f>IF(K47=1,0,IF(INDEX(raw_reservations!$B$2:$B$152,MATCH(B47,raw_reservations!$A$2:$A$152,0))&lt;&gt;C47,1,0))</f>
        <v/>
      </c>
      <c r="M47" s="9">
        <f>IF(AND(H47=0,I47=0,J47=0,K47=0,G47="received"),1,0)</f>
        <v/>
      </c>
      <c r="N47" s="10">
        <f>E47*M47</f>
        <v/>
      </c>
      <c r="O47" s="9">
        <f>IF(AND(D47&gt;=Dashboard!$C$5,D47&lt;=Dashboard!$C$6),1,0)</f>
        <v/>
      </c>
      <c r="P47" s="10">
        <f>N47*O47</f>
        <v/>
      </c>
      <c r="Q47" s="9">
        <f>IF(H47=1,"Исключено: дубль",IF(I47=1,"Исключено: нет объекта",IF(K47=1,"Исключено: нет брони",IF(J47=1,"Исключено: сумма 0","OK"))))</f>
        <v/>
      </c>
    </row>
    <row r="48">
      <c r="A48" s="9">
        <f>raw_payments!A48</f>
        <v/>
      </c>
      <c r="B48" s="9">
        <f>raw_payments!B48</f>
        <v/>
      </c>
      <c r="C48" s="9">
        <f>raw_payments!C48</f>
        <v/>
      </c>
      <c r="D48" s="24">
        <f>raw_payments!D48</f>
        <v/>
      </c>
      <c r="E48" s="10">
        <f>raw_payments!E48</f>
        <v/>
      </c>
      <c r="F48" s="9">
        <f>raw_payments!F48</f>
        <v/>
      </c>
      <c r="G48" s="9">
        <f>raw_payments!G48</f>
        <v/>
      </c>
      <c r="H48" s="9">
        <f>IF(COUNTIF(A$2:A48,A48)&gt;1,1,0)</f>
        <v/>
      </c>
      <c r="I48" s="9">
        <f>IF(COUNTIF(properties!$A$2:$A$21,C48)=0,1,0)</f>
        <v/>
      </c>
      <c r="J48" s="9">
        <f>IF(E48&lt;=0,1,0)</f>
        <v/>
      </c>
      <c r="K48" s="9">
        <f>IF(COUNTIF(raw_reservations!$A$2:$A$152,B48)=0,1,0)</f>
        <v/>
      </c>
      <c r="L48" s="9">
        <f>IF(K48=1,0,IF(INDEX(raw_reservations!$B$2:$B$152,MATCH(B48,raw_reservations!$A$2:$A$152,0))&lt;&gt;C48,1,0))</f>
        <v/>
      </c>
      <c r="M48" s="9">
        <f>IF(AND(H48=0,I48=0,J48=0,K48=0,G48="received"),1,0)</f>
        <v/>
      </c>
      <c r="N48" s="10">
        <f>E48*M48</f>
        <v/>
      </c>
      <c r="O48" s="9">
        <f>IF(AND(D48&gt;=Dashboard!$C$5,D48&lt;=Dashboard!$C$6),1,0)</f>
        <v/>
      </c>
      <c r="P48" s="10">
        <f>N48*O48</f>
        <v/>
      </c>
      <c r="Q48" s="9">
        <f>IF(H48=1,"Исключено: дубль",IF(I48=1,"Исключено: нет объекта",IF(K48=1,"Исключено: нет брони",IF(J48=1,"Исключено: сумма 0","OK"))))</f>
        <v/>
      </c>
    </row>
    <row r="49">
      <c r="A49" s="9">
        <f>raw_payments!A49</f>
        <v/>
      </c>
      <c r="B49" s="9">
        <f>raw_payments!B49</f>
        <v/>
      </c>
      <c r="C49" s="9">
        <f>raw_payments!C49</f>
        <v/>
      </c>
      <c r="D49" s="24">
        <f>raw_payments!D49</f>
        <v/>
      </c>
      <c r="E49" s="10">
        <f>raw_payments!E49</f>
        <v/>
      </c>
      <c r="F49" s="9">
        <f>raw_payments!F49</f>
        <v/>
      </c>
      <c r="G49" s="9">
        <f>raw_payments!G49</f>
        <v/>
      </c>
      <c r="H49" s="9">
        <f>IF(COUNTIF(A$2:A49,A49)&gt;1,1,0)</f>
        <v/>
      </c>
      <c r="I49" s="9">
        <f>IF(COUNTIF(properties!$A$2:$A$21,C49)=0,1,0)</f>
        <v/>
      </c>
      <c r="J49" s="9">
        <f>IF(E49&lt;=0,1,0)</f>
        <v/>
      </c>
      <c r="K49" s="9">
        <f>IF(COUNTIF(raw_reservations!$A$2:$A$152,B49)=0,1,0)</f>
        <v/>
      </c>
      <c r="L49" s="9">
        <f>IF(K49=1,0,IF(INDEX(raw_reservations!$B$2:$B$152,MATCH(B49,raw_reservations!$A$2:$A$152,0))&lt;&gt;C49,1,0))</f>
        <v/>
      </c>
      <c r="M49" s="9">
        <f>IF(AND(H49=0,I49=0,J49=0,K49=0,G49="received"),1,0)</f>
        <v/>
      </c>
      <c r="N49" s="10">
        <f>E49*M49</f>
        <v/>
      </c>
      <c r="O49" s="9">
        <f>IF(AND(D49&gt;=Dashboard!$C$5,D49&lt;=Dashboard!$C$6),1,0)</f>
        <v/>
      </c>
      <c r="P49" s="10">
        <f>N49*O49</f>
        <v/>
      </c>
      <c r="Q49" s="9">
        <f>IF(H49=1,"Исключено: дубль",IF(I49=1,"Исключено: нет объекта",IF(K49=1,"Исключено: нет брони",IF(J49=1,"Исключено: сумма 0","OK"))))</f>
        <v/>
      </c>
    </row>
    <row r="50">
      <c r="A50" s="9">
        <f>raw_payments!A50</f>
        <v/>
      </c>
      <c r="B50" s="9">
        <f>raw_payments!B50</f>
        <v/>
      </c>
      <c r="C50" s="9">
        <f>raw_payments!C50</f>
        <v/>
      </c>
      <c r="D50" s="24">
        <f>raw_payments!D50</f>
        <v/>
      </c>
      <c r="E50" s="10">
        <f>raw_payments!E50</f>
        <v/>
      </c>
      <c r="F50" s="9">
        <f>raw_payments!F50</f>
        <v/>
      </c>
      <c r="G50" s="9">
        <f>raw_payments!G50</f>
        <v/>
      </c>
      <c r="H50" s="9">
        <f>IF(COUNTIF(A$2:A50,A50)&gt;1,1,0)</f>
        <v/>
      </c>
      <c r="I50" s="9">
        <f>IF(COUNTIF(properties!$A$2:$A$21,C50)=0,1,0)</f>
        <v/>
      </c>
      <c r="J50" s="9">
        <f>IF(E50&lt;=0,1,0)</f>
        <v/>
      </c>
      <c r="K50" s="9">
        <f>IF(COUNTIF(raw_reservations!$A$2:$A$152,B50)=0,1,0)</f>
        <v/>
      </c>
      <c r="L50" s="9">
        <f>IF(K50=1,0,IF(INDEX(raw_reservations!$B$2:$B$152,MATCH(B50,raw_reservations!$A$2:$A$152,0))&lt;&gt;C50,1,0))</f>
        <v/>
      </c>
      <c r="M50" s="9">
        <f>IF(AND(H50=0,I50=0,J50=0,K50=0,G50="received"),1,0)</f>
        <v/>
      </c>
      <c r="N50" s="10">
        <f>E50*M50</f>
        <v/>
      </c>
      <c r="O50" s="9">
        <f>IF(AND(D50&gt;=Dashboard!$C$5,D50&lt;=Dashboard!$C$6),1,0)</f>
        <v/>
      </c>
      <c r="P50" s="10">
        <f>N50*O50</f>
        <v/>
      </c>
      <c r="Q50" s="9">
        <f>IF(H50=1,"Исключено: дубль",IF(I50=1,"Исключено: нет объекта",IF(K50=1,"Исключено: нет брони",IF(J50=1,"Исключено: сумма 0","OK"))))</f>
        <v/>
      </c>
    </row>
    <row r="51">
      <c r="A51" s="9">
        <f>raw_payments!A51</f>
        <v/>
      </c>
      <c r="B51" s="9">
        <f>raw_payments!B51</f>
        <v/>
      </c>
      <c r="C51" s="9">
        <f>raw_payments!C51</f>
        <v/>
      </c>
      <c r="D51" s="24">
        <f>raw_payments!D51</f>
        <v/>
      </c>
      <c r="E51" s="10">
        <f>raw_payments!E51</f>
        <v/>
      </c>
      <c r="F51" s="9">
        <f>raw_payments!F51</f>
        <v/>
      </c>
      <c r="G51" s="9">
        <f>raw_payments!G51</f>
        <v/>
      </c>
      <c r="H51" s="9">
        <f>IF(COUNTIF(A$2:A51,A51)&gt;1,1,0)</f>
        <v/>
      </c>
      <c r="I51" s="9">
        <f>IF(COUNTIF(properties!$A$2:$A$21,C51)=0,1,0)</f>
        <v/>
      </c>
      <c r="J51" s="9">
        <f>IF(E51&lt;=0,1,0)</f>
        <v/>
      </c>
      <c r="K51" s="9">
        <f>IF(COUNTIF(raw_reservations!$A$2:$A$152,B51)=0,1,0)</f>
        <v/>
      </c>
      <c r="L51" s="9">
        <f>IF(K51=1,0,IF(INDEX(raw_reservations!$B$2:$B$152,MATCH(B51,raw_reservations!$A$2:$A$152,0))&lt;&gt;C51,1,0))</f>
        <v/>
      </c>
      <c r="M51" s="9">
        <f>IF(AND(H51=0,I51=0,J51=0,K51=0,G51="received"),1,0)</f>
        <v/>
      </c>
      <c r="N51" s="10">
        <f>E51*M51</f>
        <v/>
      </c>
      <c r="O51" s="9">
        <f>IF(AND(D51&gt;=Dashboard!$C$5,D51&lt;=Dashboard!$C$6),1,0)</f>
        <v/>
      </c>
      <c r="P51" s="10">
        <f>N51*O51</f>
        <v/>
      </c>
      <c r="Q51" s="9">
        <f>IF(H51=1,"Исключено: дубль",IF(I51=1,"Исключено: нет объекта",IF(K51=1,"Исключено: нет брони",IF(J51=1,"Исключено: сумма 0","OK"))))</f>
        <v/>
      </c>
    </row>
    <row r="52">
      <c r="A52" s="9">
        <f>raw_payments!A52</f>
        <v/>
      </c>
      <c r="B52" s="9">
        <f>raw_payments!B52</f>
        <v/>
      </c>
      <c r="C52" s="9">
        <f>raw_payments!C52</f>
        <v/>
      </c>
      <c r="D52" s="24">
        <f>raw_payments!D52</f>
        <v/>
      </c>
      <c r="E52" s="10">
        <f>raw_payments!E52</f>
        <v/>
      </c>
      <c r="F52" s="9">
        <f>raw_payments!F52</f>
        <v/>
      </c>
      <c r="G52" s="9">
        <f>raw_payments!G52</f>
        <v/>
      </c>
      <c r="H52" s="9">
        <f>IF(COUNTIF(A$2:A52,A52)&gt;1,1,0)</f>
        <v/>
      </c>
      <c r="I52" s="9">
        <f>IF(COUNTIF(properties!$A$2:$A$21,C52)=0,1,0)</f>
        <v/>
      </c>
      <c r="J52" s="9">
        <f>IF(E52&lt;=0,1,0)</f>
        <v/>
      </c>
      <c r="K52" s="9">
        <f>IF(COUNTIF(raw_reservations!$A$2:$A$152,B52)=0,1,0)</f>
        <v/>
      </c>
      <c r="L52" s="9">
        <f>IF(K52=1,0,IF(INDEX(raw_reservations!$B$2:$B$152,MATCH(B52,raw_reservations!$A$2:$A$152,0))&lt;&gt;C52,1,0))</f>
        <v/>
      </c>
      <c r="M52" s="9">
        <f>IF(AND(H52=0,I52=0,J52=0,K52=0,G52="received"),1,0)</f>
        <v/>
      </c>
      <c r="N52" s="10">
        <f>E52*M52</f>
        <v/>
      </c>
      <c r="O52" s="9">
        <f>IF(AND(D52&gt;=Dashboard!$C$5,D52&lt;=Dashboard!$C$6),1,0)</f>
        <v/>
      </c>
      <c r="P52" s="10">
        <f>N52*O52</f>
        <v/>
      </c>
      <c r="Q52" s="9">
        <f>IF(H52=1,"Исключено: дубль",IF(I52=1,"Исключено: нет объекта",IF(K52=1,"Исключено: нет брони",IF(J52=1,"Исключено: сумма 0","OK"))))</f>
        <v/>
      </c>
    </row>
    <row r="53">
      <c r="A53" s="9">
        <f>raw_payments!A53</f>
        <v/>
      </c>
      <c r="B53" s="9">
        <f>raw_payments!B53</f>
        <v/>
      </c>
      <c r="C53" s="9">
        <f>raw_payments!C53</f>
        <v/>
      </c>
      <c r="D53" s="24">
        <f>raw_payments!D53</f>
        <v/>
      </c>
      <c r="E53" s="10">
        <f>raw_payments!E53</f>
        <v/>
      </c>
      <c r="F53" s="9">
        <f>raw_payments!F53</f>
        <v/>
      </c>
      <c r="G53" s="9">
        <f>raw_payments!G53</f>
        <v/>
      </c>
      <c r="H53" s="9">
        <f>IF(COUNTIF(A$2:A53,A53)&gt;1,1,0)</f>
        <v/>
      </c>
      <c r="I53" s="9">
        <f>IF(COUNTIF(properties!$A$2:$A$21,C53)=0,1,0)</f>
        <v/>
      </c>
      <c r="J53" s="9">
        <f>IF(E53&lt;=0,1,0)</f>
        <v/>
      </c>
      <c r="K53" s="9">
        <f>IF(COUNTIF(raw_reservations!$A$2:$A$152,B53)=0,1,0)</f>
        <v/>
      </c>
      <c r="L53" s="9">
        <f>IF(K53=1,0,IF(INDEX(raw_reservations!$B$2:$B$152,MATCH(B53,raw_reservations!$A$2:$A$152,0))&lt;&gt;C53,1,0))</f>
        <v/>
      </c>
      <c r="M53" s="9">
        <f>IF(AND(H53=0,I53=0,J53=0,K53=0,G53="received"),1,0)</f>
        <v/>
      </c>
      <c r="N53" s="10">
        <f>E53*M53</f>
        <v/>
      </c>
      <c r="O53" s="9">
        <f>IF(AND(D53&gt;=Dashboard!$C$5,D53&lt;=Dashboard!$C$6),1,0)</f>
        <v/>
      </c>
      <c r="P53" s="10">
        <f>N53*O53</f>
        <v/>
      </c>
      <c r="Q53" s="9">
        <f>IF(H53=1,"Исключено: дубль",IF(I53=1,"Исключено: нет объекта",IF(K53=1,"Исключено: нет брони",IF(J53=1,"Исключено: сумма 0","OK"))))</f>
        <v/>
      </c>
    </row>
    <row r="54">
      <c r="A54" s="9">
        <f>raw_payments!A54</f>
        <v/>
      </c>
      <c r="B54" s="9">
        <f>raw_payments!B54</f>
        <v/>
      </c>
      <c r="C54" s="9">
        <f>raw_payments!C54</f>
        <v/>
      </c>
      <c r="D54" s="24">
        <f>raw_payments!D54</f>
        <v/>
      </c>
      <c r="E54" s="10">
        <f>raw_payments!E54</f>
        <v/>
      </c>
      <c r="F54" s="9">
        <f>raw_payments!F54</f>
        <v/>
      </c>
      <c r="G54" s="9">
        <f>raw_payments!G54</f>
        <v/>
      </c>
      <c r="H54" s="9">
        <f>IF(COUNTIF(A$2:A54,A54)&gt;1,1,0)</f>
        <v/>
      </c>
      <c r="I54" s="9">
        <f>IF(COUNTIF(properties!$A$2:$A$21,C54)=0,1,0)</f>
        <v/>
      </c>
      <c r="J54" s="9">
        <f>IF(E54&lt;=0,1,0)</f>
        <v/>
      </c>
      <c r="K54" s="9">
        <f>IF(COUNTIF(raw_reservations!$A$2:$A$152,B54)=0,1,0)</f>
        <v/>
      </c>
      <c r="L54" s="9">
        <f>IF(K54=1,0,IF(INDEX(raw_reservations!$B$2:$B$152,MATCH(B54,raw_reservations!$A$2:$A$152,0))&lt;&gt;C54,1,0))</f>
        <v/>
      </c>
      <c r="M54" s="9">
        <f>IF(AND(H54=0,I54=0,J54=0,K54=0,G54="received"),1,0)</f>
        <v/>
      </c>
      <c r="N54" s="10">
        <f>E54*M54</f>
        <v/>
      </c>
      <c r="O54" s="9">
        <f>IF(AND(D54&gt;=Dashboard!$C$5,D54&lt;=Dashboard!$C$6),1,0)</f>
        <v/>
      </c>
      <c r="P54" s="10">
        <f>N54*O54</f>
        <v/>
      </c>
      <c r="Q54" s="9">
        <f>IF(H54=1,"Исключено: дубль",IF(I54=1,"Исключено: нет объекта",IF(K54=1,"Исключено: нет брони",IF(J54=1,"Исключено: сумма 0","OK"))))</f>
        <v/>
      </c>
    </row>
    <row r="55">
      <c r="A55" s="9">
        <f>raw_payments!A55</f>
        <v/>
      </c>
      <c r="B55" s="9">
        <f>raw_payments!B55</f>
        <v/>
      </c>
      <c r="C55" s="9">
        <f>raw_payments!C55</f>
        <v/>
      </c>
      <c r="D55" s="24">
        <f>raw_payments!D55</f>
        <v/>
      </c>
      <c r="E55" s="10">
        <f>raw_payments!E55</f>
        <v/>
      </c>
      <c r="F55" s="9">
        <f>raw_payments!F55</f>
        <v/>
      </c>
      <c r="G55" s="9">
        <f>raw_payments!G55</f>
        <v/>
      </c>
      <c r="H55" s="9">
        <f>IF(COUNTIF(A$2:A55,A55)&gt;1,1,0)</f>
        <v/>
      </c>
      <c r="I55" s="9">
        <f>IF(COUNTIF(properties!$A$2:$A$21,C55)=0,1,0)</f>
        <v/>
      </c>
      <c r="J55" s="9">
        <f>IF(E55&lt;=0,1,0)</f>
        <v/>
      </c>
      <c r="K55" s="9">
        <f>IF(COUNTIF(raw_reservations!$A$2:$A$152,B55)=0,1,0)</f>
        <v/>
      </c>
      <c r="L55" s="9">
        <f>IF(K55=1,0,IF(INDEX(raw_reservations!$B$2:$B$152,MATCH(B55,raw_reservations!$A$2:$A$152,0))&lt;&gt;C55,1,0))</f>
        <v/>
      </c>
      <c r="M55" s="9">
        <f>IF(AND(H55=0,I55=0,J55=0,K55=0,G55="received"),1,0)</f>
        <v/>
      </c>
      <c r="N55" s="10">
        <f>E55*M55</f>
        <v/>
      </c>
      <c r="O55" s="9">
        <f>IF(AND(D55&gt;=Dashboard!$C$5,D55&lt;=Dashboard!$C$6),1,0)</f>
        <v/>
      </c>
      <c r="P55" s="10">
        <f>N55*O55</f>
        <v/>
      </c>
      <c r="Q55" s="9">
        <f>IF(H55=1,"Исключено: дубль",IF(I55=1,"Исключено: нет объекта",IF(K55=1,"Исключено: нет брони",IF(J55=1,"Исключено: сумма 0","OK"))))</f>
        <v/>
      </c>
    </row>
    <row r="56">
      <c r="A56" s="9">
        <f>raw_payments!A56</f>
        <v/>
      </c>
      <c r="B56" s="9">
        <f>raw_payments!B56</f>
        <v/>
      </c>
      <c r="C56" s="9">
        <f>raw_payments!C56</f>
        <v/>
      </c>
      <c r="D56" s="24">
        <f>raw_payments!D56</f>
        <v/>
      </c>
      <c r="E56" s="10">
        <f>raw_payments!E56</f>
        <v/>
      </c>
      <c r="F56" s="9">
        <f>raw_payments!F56</f>
        <v/>
      </c>
      <c r="G56" s="9">
        <f>raw_payments!G56</f>
        <v/>
      </c>
      <c r="H56" s="9">
        <f>IF(COUNTIF(A$2:A56,A56)&gt;1,1,0)</f>
        <v/>
      </c>
      <c r="I56" s="9">
        <f>IF(COUNTIF(properties!$A$2:$A$21,C56)=0,1,0)</f>
        <v/>
      </c>
      <c r="J56" s="9">
        <f>IF(E56&lt;=0,1,0)</f>
        <v/>
      </c>
      <c r="K56" s="9">
        <f>IF(COUNTIF(raw_reservations!$A$2:$A$152,B56)=0,1,0)</f>
        <v/>
      </c>
      <c r="L56" s="9">
        <f>IF(K56=1,0,IF(INDEX(raw_reservations!$B$2:$B$152,MATCH(B56,raw_reservations!$A$2:$A$152,0))&lt;&gt;C56,1,0))</f>
        <v/>
      </c>
      <c r="M56" s="9">
        <f>IF(AND(H56=0,I56=0,J56=0,K56=0,G56="received"),1,0)</f>
        <v/>
      </c>
      <c r="N56" s="10">
        <f>E56*M56</f>
        <v/>
      </c>
      <c r="O56" s="9">
        <f>IF(AND(D56&gt;=Dashboard!$C$5,D56&lt;=Dashboard!$C$6),1,0)</f>
        <v/>
      </c>
      <c r="P56" s="10">
        <f>N56*O56</f>
        <v/>
      </c>
      <c r="Q56" s="9">
        <f>IF(H56=1,"Исключено: дубль",IF(I56=1,"Исключено: нет объекта",IF(K56=1,"Исключено: нет брони",IF(J56=1,"Исключено: сумма 0","OK"))))</f>
        <v/>
      </c>
    </row>
    <row r="57">
      <c r="A57" s="9">
        <f>raw_payments!A57</f>
        <v/>
      </c>
      <c r="B57" s="9">
        <f>raw_payments!B57</f>
        <v/>
      </c>
      <c r="C57" s="9">
        <f>raw_payments!C57</f>
        <v/>
      </c>
      <c r="D57" s="24">
        <f>raw_payments!D57</f>
        <v/>
      </c>
      <c r="E57" s="10">
        <f>raw_payments!E57</f>
        <v/>
      </c>
      <c r="F57" s="9">
        <f>raw_payments!F57</f>
        <v/>
      </c>
      <c r="G57" s="9">
        <f>raw_payments!G57</f>
        <v/>
      </c>
      <c r="H57" s="9">
        <f>IF(COUNTIF(A$2:A57,A57)&gt;1,1,0)</f>
        <v/>
      </c>
      <c r="I57" s="9">
        <f>IF(COUNTIF(properties!$A$2:$A$21,C57)=0,1,0)</f>
        <v/>
      </c>
      <c r="J57" s="9">
        <f>IF(E57&lt;=0,1,0)</f>
        <v/>
      </c>
      <c r="K57" s="9">
        <f>IF(COUNTIF(raw_reservations!$A$2:$A$152,B57)=0,1,0)</f>
        <v/>
      </c>
      <c r="L57" s="9">
        <f>IF(K57=1,0,IF(INDEX(raw_reservations!$B$2:$B$152,MATCH(B57,raw_reservations!$A$2:$A$152,0))&lt;&gt;C57,1,0))</f>
        <v/>
      </c>
      <c r="M57" s="9">
        <f>IF(AND(H57=0,I57=0,J57=0,K57=0,G57="received"),1,0)</f>
        <v/>
      </c>
      <c r="N57" s="10">
        <f>E57*M57</f>
        <v/>
      </c>
      <c r="O57" s="9">
        <f>IF(AND(D57&gt;=Dashboard!$C$5,D57&lt;=Dashboard!$C$6),1,0)</f>
        <v/>
      </c>
      <c r="P57" s="10">
        <f>N57*O57</f>
        <v/>
      </c>
      <c r="Q57" s="9">
        <f>IF(H57=1,"Исключено: дубль",IF(I57=1,"Исключено: нет объекта",IF(K57=1,"Исключено: нет брони",IF(J57=1,"Исключено: сумма 0","OK"))))</f>
        <v/>
      </c>
    </row>
    <row r="58">
      <c r="A58" s="9">
        <f>raw_payments!A58</f>
        <v/>
      </c>
      <c r="B58" s="9">
        <f>raw_payments!B58</f>
        <v/>
      </c>
      <c r="C58" s="9">
        <f>raw_payments!C58</f>
        <v/>
      </c>
      <c r="D58" s="24">
        <f>raw_payments!D58</f>
        <v/>
      </c>
      <c r="E58" s="10">
        <f>raw_payments!E58</f>
        <v/>
      </c>
      <c r="F58" s="9">
        <f>raw_payments!F58</f>
        <v/>
      </c>
      <c r="G58" s="9">
        <f>raw_payments!G58</f>
        <v/>
      </c>
      <c r="H58" s="9">
        <f>IF(COUNTIF(A$2:A58,A58)&gt;1,1,0)</f>
        <v/>
      </c>
      <c r="I58" s="9">
        <f>IF(COUNTIF(properties!$A$2:$A$21,C58)=0,1,0)</f>
        <v/>
      </c>
      <c r="J58" s="9">
        <f>IF(E58&lt;=0,1,0)</f>
        <v/>
      </c>
      <c r="K58" s="9">
        <f>IF(COUNTIF(raw_reservations!$A$2:$A$152,B58)=0,1,0)</f>
        <v/>
      </c>
      <c r="L58" s="9">
        <f>IF(K58=1,0,IF(INDEX(raw_reservations!$B$2:$B$152,MATCH(B58,raw_reservations!$A$2:$A$152,0))&lt;&gt;C58,1,0))</f>
        <v/>
      </c>
      <c r="M58" s="9">
        <f>IF(AND(H58=0,I58=0,J58=0,K58=0,G58="received"),1,0)</f>
        <v/>
      </c>
      <c r="N58" s="10">
        <f>E58*M58</f>
        <v/>
      </c>
      <c r="O58" s="9">
        <f>IF(AND(D58&gt;=Dashboard!$C$5,D58&lt;=Dashboard!$C$6),1,0)</f>
        <v/>
      </c>
      <c r="P58" s="10">
        <f>N58*O58</f>
        <v/>
      </c>
      <c r="Q58" s="9">
        <f>IF(H58=1,"Исключено: дубль",IF(I58=1,"Исключено: нет объекта",IF(K58=1,"Исключено: нет брони",IF(J58=1,"Исключено: сумма 0","OK"))))</f>
        <v/>
      </c>
    </row>
    <row r="59">
      <c r="A59" s="9">
        <f>raw_payments!A59</f>
        <v/>
      </c>
      <c r="B59" s="9">
        <f>raw_payments!B59</f>
        <v/>
      </c>
      <c r="C59" s="9">
        <f>raw_payments!C59</f>
        <v/>
      </c>
      <c r="D59" s="24">
        <f>raw_payments!D59</f>
        <v/>
      </c>
      <c r="E59" s="10">
        <f>raw_payments!E59</f>
        <v/>
      </c>
      <c r="F59" s="9">
        <f>raw_payments!F59</f>
        <v/>
      </c>
      <c r="G59" s="9">
        <f>raw_payments!G59</f>
        <v/>
      </c>
      <c r="H59" s="9">
        <f>IF(COUNTIF(A$2:A59,A59)&gt;1,1,0)</f>
        <v/>
      </c>
      <c r="I59" s="9">
        <f>IF(COUNTIF(properties!$A$2:$A$21,C59)=0,1,0)</f>
        <v/>
      </c>
      <c r="J59" s="9">
        <f>IF(E59&lt;=0,1,0)</f>
        <v/>
      </c>
      <c r="K59" s="9">
        <f>IF(COUNTIF(raw_reservations!$A$2:$A$152,B59)=0,1,0)</f>
        <v/>
      </c>
      <c r="L59" s="9">
        <f>IF(K59=1,0,IF(INDEX(raw_reservations!$B$2:$B$152,MATCH(B59,raw_reservations!$A$2:$A$152,0))&lt;&gt;C59,1,0))</f>
        <v/>
      </c>
      <c r="M59" s="9">
        <f>IF(AND(H59=0,I59=0,J59=0,K59=0,G59="received"),1,0)</f>
        <v/>
      </c>
      <c r="N59" s="10">
        <f>E59*M59</f>
        <v/>
      </c>
      <c r="O59" s="9">
        <f>IF(AND(D59&gt;=Dashboard!$C$5,D59&lt;=Dashboard!$C$6),1,0)</f>
        <v/>
      </c>
      <c r="P59" s="10">
        <f>N59*O59</f>
        <v/>
      </c>
      <c r="Q59" s="9">
        <f>IF(H59=1,"Исключено: дубль",IF(I59=1,"Исключено: нет объекта",IF(K59=1,"Исключено: нет брони",IF(J59=1,"Исключено: сумма 0","OK"))))</f>
        <v/>
      </c>
    </row>
    <row r="60">
      <c r="A60" s="9">
        <f>raw_payments!A60</f>
        <v/>
      </c>
      <c r="B60" s="9">
        <f>raw_payments!B60</f>
        <v/>
      </c>
      <c r="C60" s="9">
        <f>raw_payments!C60</f>
        <v/>
      </c>
      <c r="D60" s="24">
        <f>raw_payments!D60</f>
        <v/>
      </c>
      <c r="E60" s="10">
        <f>raw_payments!E60</f>
        <v/>
      </c>
      <c r="F60" s="9">
        <f>raw_payments!F60</f>
        <v/>
      </c>
      <c r="G60" s="9">
        <f>raw_payments!G60</f>
        <v/>
      </c>
      <c r="H60" s="9">
        <f>IF(COUNTIF(A$2:A60,A60)&gt;1,1,0)</f>
        <v/>
      </c>
      <c r="I60" s="9">
        <f>IF(COUNTIF(properties!$A$2:$A$21,C60)=0,1,0)</f>
        <v/>
      </c>
      <c r="J60" s="9">
        <f>IF(E60&lt;=0,1,0)</f>
        <v/>
      </c>
      <c r="K60" s="9">
        <f>IF(COUNTIF(raw_reservations!$A$2:$A$152,B60)=0,1,0)</f>
        <v/>
      </c>
      <c r="L60" s="9">
        <f>IF(K60=1,0,IF(INDEX(raw_reservations!$B$2:$B$152,MATCH(B60,raw_reservations!$A$2:$A$152,0))&lt;&gt;C60,1,0))</f>
        <v/>
      </c>
      <c r="M60" s="9">
        <f>IF(AND(H60=0,I60=0,J60=0,K60=0,G60="received"),1,0)</f>
        <v/>
      </c>
      <c r="N60" s="10">
        <f>E60*M60</f>
        <v/>
      </c>
      <c r="O60" s="9">
        <f>IF(AND(D60&gt;=Dashboard!$C$5,D60&lt;=Dashboard!$C$6),1,0)</f>
        <v/>
      </c>
      <c r="P60" s="10">
        <f>N60*O60</f>
        <v/>
      </c>
      <c r="Q60" s="9">
        <f>IF(H60=1,"Исключено: дубль",IF(I60=1,"Исключено: нет объекта",IF(K60=1,"Исключено: нет брони",IF(J60=1,"Исключено: сумма 0","OK"))))</f>
        <v/>
      </c>
    </row>
    <row r="61">
      <c r="A61" s="9">
        <f>raw_payments!A61</f>
        <v/>
      </c>
      <c r="B61" s="9">
        <f>raw_payments!B61</f>
        <v/>
      </c>
      <c r="C61" s="9">
        <f>raw_payments!C61</f>
        <v/>
      </c>
      <c r="D61" s="24">
        <f>raw_payments!D61</f>
        <v/>
      </c>
      <c r="E61" s="10">
        <f>raw_payments!E61</f>
        <v/>
      </c>
      <c r="F61" s="9">
        <f>raw_payments!F61</f>
        <v/>
      </c>
      <c r="G61" s="9">
        <f>raw_payments!G61</f>
        <v/>
      </c>
      <c r="H61" s="9">
        <f>IF(COUNTIF(A$2:A61,A61)&gt;1,1,0)</f>
        <v/>
      </c>
      <c r="I61" s="9">
        <f>IF(COUNTIF(properties!$A$2:$A$21,C61)=0,1,0)</f>
        <v/>
      </c>
      <c r="J61" s="9">
        <f>IF(E61&lt;=0,1,0)</f>
        <v/>
      </c>
      <c r="K61" s="9">
        <f>IF(COUNTIF(raw_reservations!$A$2:$A$152,B61)=0,1,0)</f>
        <v/>
      </c>
      <c r="L61" s="9">
        <f>IF(K61=1,0,IF(INDEX(raw_reservations!$B$2:$B$152,MATCH(B61,raw_reservations!$A$2:$A$152,0))&lt;&gt;C61,1,0))</f>
        <v/>
      </c>
      <c r="M61" s="9">
        <f>IF(AND(H61=0,I61=0,J61=0,K61=0,G61="received"),1,0)</f>
        <v/>
      </c>
      <c r="N61" s="10">
        <f>E61*M61</f>
        <v/>
      </c>
      <c r="O61" s="9">
        <f>IF(AND(D61&gt;=Dashboard!$C$5,D61&lt;=Dashboard!$C$6),1,0)</f>
        <v/>
      </c>
      <c r="P61" s="10">
        <f>N61*O61</f>
        <v/>
      </c>
      <c r="Q61" s="9">
        <f>IF(H61=1,"Исключено: дубль",IF(I61=1,"Исключено: нет объекта",IF(K61=1,"Исключено: нет брони",IF(J61=1,"Исключено: сумма 0","OK"))))</f>
        <v/>
      </c>
    </row>
    <row r="62">
      <c r="A62" s="9">
        <f>raw_payments!A62</f>
        <v/>
      </c>
      <c r="B62" s="9">
        <f>raw_payments!B62</f>
        <v/>
      </c>
      <c r="C62" s="9">
        <f>raw_payments!C62</f>
        <v/>
      </c>
      <c r="D62" s="24">
        <f>raw_payments!D62</f>
        <v/>
      </c>
      <c r="E62" s="10">
        <f>raw_payments!E62</f>
        <v/>
      </c>
      <c r="F62" s="9">
        <f>raw_payments!F62</f>
        <v/>
      </c>
      <c r="G62" s="9">
        <f>raw_payments!G62</f>
        <v/>
      </c>
      <c r="H62" s="9">
        <f>IF(COUNTIF(A$2:A62,A62)&gt;1,1,0)</f>
        <v/>
      </c>
      <c r="I62" s="9">
        <f>IF(COUNTIF(properties!$A$2:$A$21,C62)=0,1,0)</f>
        <v/>
      </c>
      <c r="J62" s="9">
        <f>IF(E62&lt;=0,1,0)</f>
        <v/>
      </c>
      <c r="K62" s="9">
        <f>IF(COUNTIF(raw_reservations!$A$2:$A$152,B62)=0,1,0)</f>
        <v/>
      </c>
      <c r="L62" s="9">
        <f>IF(K62=1,0,IF(INDEX(raw_reservations!$B$2:$B$152,MATCH(B62,raw_reservations!$A$2:$A$152,0))&lt;&gt;C62,1,0))</f>
        <v/>
      </c>
      <c r="M62" s="9">
        <f>IF(AND(H62=0,I62=0,J62=0,K62=0,G62="received"),1,0)</f>
        <v/>
      </c>
      <c r="N62" s="10">
        <f>E62*M62</f>
        <v/>
      </c>
      <c r="O62" s="9">
        <f>IF(AND(D62&gt;=Dashboard!$C$5,D62&lt;=Dashboard!$C$6),1,0)</f>
        <v/>
      </c>
      <c r="P62" s="10">
        <f>N62*O62</f>
        <v/>
      </c>
      <c r="Q62" s="9">
        <f>IF(H62=1,"Исключено: дубль",IF(I62=1,"Исключено: нет объекта",IF(K62=1,"Исключено: нет брони",IF(J62=1,"Исключено: сумма 0","OK"))))</f>
        <v/>
      </c>
    </row>
    <row r="63">
      <c r="A63" s="9">
        <f>raw_payments!A63</f>
        <v/>
      </c>
      <c r="B63" s="9">
        <f>raw_payments!B63</f>
        <v/>
      </c>
      <c r="C63" s="9">
        <f>raw_payments!C63</f>
        <v/>
      </c>
      <c r="D63" s="24">
        <f>raw_payments!D63</f>
        <v/>
      </c>
      <c r="E63" s="10">
        <f>raw_payments!E63</f>
        <v/>
      </c>
      <c r="F63" s="9">
        <f>raw_payments!F63</f>
        <v/>
      </c>
      <c r="G63" s="9">
        <f>raw_payments!G63</f>
        <v/>
      </c>
      <c r="H63" s="9">
        <f>IF(COUNTIF(A$2:A63,A63)&gt;1,1,0)</f>
        <v/>
      </c>
      <c r="I63" s="9">
        <f>IF(COUNTIF(properties!$A$2:$A$21,C63)=0,1,0)</f>
        <v/>
      </c>
      <c r="J63" s="9">
        <f>IF(E63&lt;=0,1,0)</f>
        <v/>
      </c>
      <c r="K63" s="9">
        <f>IF(COUNTIF(raw_reservations!$A$2:$A$152,B63)=0,1,0)</f>
        <v/>
      </c>
      <c r="L63" s="9">
        <f>IF(K63=1,0,IF(INDEX(raw_reservations!$B$2:$B$152,MATCH(B63,raw_reservations!$A$2:$A$152,0))&lt;&gt;C63,1,0))</f>
        <v/>
      </c>
      <c r="M63" s="9">
        <f>IF(AND(H63=0,I63=0,J63=0,K63=0,G63="received"),1,0)</f>
        <v/>
      </c>
      <c r="N63" s="10">
        <f>E63*M63</f>
        <v/>
      </c>
      <c r="O63" s="9">
        <f>IF(AND(D63&gt;=Dashboard!$C$5,D63&lt;=Dashboard!$C$6),1,0)</f>
        <v/>
      </c>
      <c r="P63" s="10">
        <f>N63*O63</f>
        <v/>
      </c>
      <c r="Q63" s="9">
        <f>IF(H63=1,"Исключено: дубль",IF(I63=1,"Исключено: нет объекта",IF(K63=1,"Исключено: нет брони",IF(J63=1,"Исключено: сумма 0","OK"))))</f>
        <v/>
      </c>
    </row>
    <row r="64">
      <c r="A64" s="9">
        <f>raw_payments!A64</f>
        <v/>
      </c>
      <c r="B64" s="9">
        <f>raw_payments!B64</f>
        <v/>
      </c>
      <c r="C64" s="9">
        <f>raw_payments!C64</f>
        <v/>
      </c>
      <c r="D64" s="24">
        <f>raw_payments!D64</f>
        <v/>
      </c>
      <c r="E64" s="10">
        <f>raw_payments!E64</f>
        <v/>
      </c>
      <c r="F64" s="9">
        <f>raw_payments!F64</f>
        <v/>
      </c>
      <c r="G64" s="9">
        <f>raw_payments!G64</f>
        <v/>
      </c>
      <c r="H64" s="9">
        <f>IF(COUNTIF(A$2:A64,A64)&gt;1,1,0)</f>
        <v/>
      </c>
      <c r="I64" s="9">
        <f>IF(COUNTIF(properties!$A$2:$A$21,C64)=0,1,0)</f>
        <v/>
      </c>
      <c r="J64" s="9">
        <f>IF(E64&lt;=0,1,0)</f>
        <v/>
      </c>
      <c r="K64" s="9">
        <f>IF(COUNTIF(raw_reservations!$A$2:$A$152,B64)=0,1,0)</f>
        <v/>
      </c>
      <c r="L64" s="9">
        <f>IF(K64=1,0,IF(INDEX(raw_reservations!$B$2:$B$152,MATCH(B64,raw_reservations!$A$2:$A$152,0))&lt;&gt;C64,1,0))</f>
        <v/>
      </c>
      <c r="M64" s="9">
        <f>IF(AND(H64=0,I64=0,J64=0,K64=0,G64="received"),1,0)</f>
        <v/>
      </c>
      <c r="N64" s="10">
        <f>E64*M64</f>
        <v/>
      </c>
      <c r="O64" s="9">
        <f>IF(AND(D64&gt;=Dashboard!$C$5,D64&lt;=Dashboard!$C$6),1,0)</f>
        <v/>
      </c>
      <c r="P64" s="10">
        <f>N64*O64</f>
        <v/>
      </c>
      <c r="Q64" s="9">
        <f>IF(H64=1,"Исключено: дубль",IF(I64=1,"Исключено: нет объекта",IF(K64=1,"Исключено: нет брони",IF(J64=1,"Исключено: сумма 0","OK"))))</f>
        <v/>
      </c>
    </row>
    <row r="65">
      <c r="A65" s="9">
        <f>raw_payments!A65</f>
        <v/>
      </c>
      <c r="B65" s="9">
        <f>raw_payments!B65</f>
        <v/>
      </c>
      <c r="C65" s="9">
        <f>raw_payments!C65</f>
        <v/>
      </c>
      <c r="D65" s="24">
        <f>raw_payments!D65</f>
        <v/>
      </c>
      <c r="E65" s="10">
        <f>raw_payments!E65</f>
        <v/>
      </c>
      <c r="F65" s="9">
        <f>raw_payments!F65</f>
        <v/>
      </c>
      <c r="G65" s="9">
        <f>raw_payments!G65</f>
        <v/>
      </c>
      <c r="H65" s="9">
        <f>IF(COUNTIF(A$2:A65,A65)&gt;1,1,0)</f>
        <v/>
      </c>
      <c r="I65" s="9">
        <f>IF(COUNTIF(properties!$A$2:$A$21,C65)=0,1,0)</f>
        <v/>
      </c>
      <c r="J65" s="9">
        <f>IF(E65&lt;=0,1,0)</f>
        <v/>
      </c>
      <c r="K65" s="9">
        <f>IF(COUNTIF(raw_reservations!$A$2:$A$152,B65)=0,1,0)</f>
        <v/>
      </c>
      <c r="L65" s="9">
        <f>IF(K65=1,0,IF(INDEX(raw_reservations!$B$2:$B$152,MATCH(B65,raw_reservations!$A$2:$A$152,0))&lt;&gt;C65,1,0))</f>
        <v/>
      </c>
      <c r="M65" s="9">
        <f>IF(AND(H65=0,I65=0,J65=0,K65=0,G65="received"),1,0)</f>
        <v/>
      </c>
      <c r="N65" s="10">
        <f>E65*M65</f>
        <v/>
      </c>
      <c r="O65" s="9">
        <f>IF(AND(D65&gt;=Dashboard!$C$5,D65&lt;=Dashboard!$C$6),1,0)</f>
        <v/>
      </c>
      <c r="P65" s="10">
        <f>N65*O65</f>
        <v/>
      </c>
      <c r="Q65" s="9">
        <f>IF(H65=1,"Исключено: дубль",IF(I65=1,"Исключено: нет объекта",IF(K65=1,"Исключено: нет брони",IF(J65=1,"Исключено: сумма 0","OK"))))</f>
        <v/>
      </c>
    </row>
    <row r="66">
      <c r="A66" s="9">
        <f>raw_payments!A66</f>
        <v/>
      </c>
      <c r="B66" s="9">
        <f>raw_payments!B66</f>
        <v/>
      </c>
      <c r="C66" s="9">
        <f>raw_payments!C66</f>
        <v/>
      </c>
      <c r="D66" s="24">
        <f>raw_payments!D66</f>
        <v/>
      </c>
      <c r="E66" s="10">
        <f>raw_payments!E66</f>
        <v/>
      </c>
      <c r="F66" s="9">
        <f>raw_payments!F66</f>
        <v/>
      </c>
      <c r="G66" s="9">
        <f>raw_payments!G66</f>
        <v/>
      </c>
      <c r="H66" s="9">
        <f>IF(COUNTIF(A$2:A66,A66)&gt;1,1,0)</f>
        <v/>
      </c>
      <c r="I66" s="9">
        <f>IF(COUNTIF(properties!$A$2:$A$21,C66)=0,1,0)</f>
        <v/>
      </c>
      <c r="J66" s="9">
        <f>IF(E66&lt;=0,1,0)</f>
        <v/>
      </c>
      <c r="K66" s="9">
        <f>IF(COUNTIF(raw_reservations!$A$2:$A$152,B66)=0,1,0)</f>
        <v/>
      </c>
      <c r="L66" s="9">
        <f>IF(K66=1,0,IF(INDEX(raw_reservations!$B$2:$B$152,MATCH(B66,raw_reservations!$A$2:$A$152,0))&lt;&gt;C66,1,0))</f>
        <v/>
      </c>
      <c r="M66" s="9">
        <f>IF(AND(H66=0,I66=0,J66=0,K66=0,G66="received"),1,0)</f>
        <v/>
      </c>
      <c r="N66" s="10">
        <f>E66*M66</f>
        <v/>
      </c>
      <c r="O66" s="9">
        <f>IF(AND(D66&gt;=Dashboard!$C$5,D66&lt;=Dashboard!$C$6),1,0)</f>
        <v/>
      </c>
      <c r="P66" s="10">
        <f>N66*O66</f>
        <v/>
      </c>
      <c r="Q66" s="9">
        <f>IF(H66=1,"Исключено: дубль",IF(I66=1,"Исключено: нет объекта",IF(K66=1,"Исключено: нет брони",IF(J66=1,"Исключено: сумма 0","OK"))))</f>
        <v/>
      </c>
    </row>
    <row r="67">
      <c r="A67" s="9">
        <f>raw_payments!A67</f>
        <v/>
      </c>
      <c r="B67" s="9">
        <f>raw_payments!B67</f>
        <v/>
      </c>
      <c r="C67" s="9">
        <f>raw_payments!C67</f>
        <v/>
      </c>
      <c r="D67" s="24">
        <f>raw_payments!D67</f>
        <v/>
      </c>
      <c r="E67" s="10">
        <f>raw_payments!E67</f>
        <v/>
      </c>
      <c r="F67" s="9">
        <f>raw_payments!F67</f>
        <v/>
      </c>
      <c r="G67" s="9">
        <f>raw_payments!G67</f>
        <v/>
      </c>
      <c r="H67" s="9">
        <f>IF(COUNTIF(A$2:A67,A67)&gt;1,1,0)</f>
        <v/>
      </c>
      <c r="I67" s="9">
        <f>IF(COUNTIF(properties!$A$2:$A$21,C67)=0,1,0)</f>
        <v/>
      </c>
      <c r="J67" s="9">
        <f>IF(E67&lt;=0,1,0)</f>
        <v/>
      </c>
      <c r="K67" s="9">
        <f>IF(COUNTIF(raw_reservations!$A$2:$A$152,B67)=0,1,0)</f>
        <v/>
      </c>
      <c r="L67" s="9">
        <f>IF(K67=1,0,IF(INDEX(raw_reservations!$B$2:$B$152,MATCH(B67,raw_reservations!$A$2:$A$152,0))&lt;&gt;C67,1,0))</f>
        <v/>
      </c>
      <c r="M67" s="9">
        <f>IF(AND(H67=0,I67=0,J67=0,K67=0,G67="received"),1,0)</f>
        <v/>
      </c>
      <c r="N67" s="10">
        <f>E67*M67</f>
        <v/>
      </c>
      <c r="O67" s="9">
        <f>IF(AND(D67&gt;=Dashboard!$C$5,D67&lt;=Dashboard!$C$6),1,0)</f>
        <v/>
      </c>
      <c r="P67" s="10">
        <f>N67*O67</f>
        <v/>
      </c>
      <c r="Q67" s="9">
        <f>IF(H67=1,"Исключено: дубль",IF(I67=1,"Исключено: нет объекта",IF(K67=1,"Исключено: нет брони",IF(J67=1,"Исключено: сумма 0","OK"))))</f>
        <v/>
      </c>
    </row>
    <row r="68">
      <c r="A68" s="9">
        <f>raw_payments!A68</f>
        <v/>
      </c>
      <c r="B68" s="9">
        <f>raw_payments!B68</f>
        <v/>
      </c>
      <c r="C68" s="9">
        <f>raw_payments!C68</f>
        <v/>
      </c>
      <c r="D68" s="24">
        <f>raw_payments!D68</f>
        <v/>
      </c>
      <c r="E68" s="10">
        <f>raw_payments!E68</f>
        <v/>
      </c>
      <c r="F68" s="9">
        <f>raw_payments!F68</f>
        <v/>
      </c>
      <c r="G68" s="9">
        <f>raw_payments!G68</f>
        <v/>
      </c>
      <c r="H68" s="9">
        <f>IF(COUNTIF(A$2:A68,A68)&gt;1,1,0)</f>
        <v/>
      </c>
      <c r="I68" s="9">
        <f>IF(COUNTIF(properties!$A$2:$A$21,C68)=0,1,0)</f>
        <v/>
      </c>
      <c r="J68" s="9">
        <f>IF(E68&lt;=0,1,0)</f>
        <v/>
      </c>
      <c r="K68" s="9">
        <f>IF(COUNTIF(raw_reservations!$A$2:$A$152,B68)=0,1,0)</f>
        <v/>
      </c>
      <c r="L68" s="9">
        <f>IF(K68=1,0,IF(INDEX(raw_reservations!$B$2:$B$152,MATCH(B68,raw_reservations!$A$2:$A$152,0))&lt;&gt;C68,1,0))</f>
        <v/>
      </c>
      <c r="M68" s="9">
        <f>IF(AND(H68=0,I68=0,J68=0,K68=0,G68="received"),1,0)</f>
        <v/>
      </c>
      <c r="N68" s="10">
        <f>E68*M68</f>
        <v/>
      </c>
      <c r="O68" s="9">
        <f>IF(AND(D68&gt;=Dashboard!$C$5,D68&lt;=Dashboard!$C$6),1,0)</f>
        <v/>
      </c>
      <c r="P68" s="10">
        <f>N68*O68</f>
        <v/>
      </c>
      <c r="Q68" s="9">
        <f>IF(H68=1,"Исключено: дубль",IF(I68=1,"Исключено: нет объекта",IF(K68=1,"Исключено: нет брони",IF(J68=1,"Исключено: сумма 0","OK"))))</f>
        <v/>
      </c>
    </row>
    <row r="69">
      <c r="A69" s="9">
        <f>raw_payments!A69</f>
        <v/>
      </c>
      <c r="B69" s="9">
        <f>raw_payments!B69</f>
        <v/>
      </c>
      <c r="C69" s="9">
        <f>raw_payments!C69</f>
        <v/>
      </c>
      <c r="D69" s="24">
        <f>raw_payments!D69</f>
        <v/>
      </c>
      <c r="E69" s="10">
        <f>raw_payments!E69</f>
        <v/>
      </c>
      <c r="F69" s="9">
        <f>raw_payments!F69</f>
        <v/>
      </c>
      <c r="G69" s="9">
        <f>raw_payments!G69</f>
        <v/>
      </c>
      <c r="H69" s="9">
        <f>IF(COUNTIF(A$2:A69,A69)&gt;1,1,0)</f>
        <v/>
      </c>
      <c r="I69" s="9">
        <f>IF(COUNTIF(properties!$A$2:$A$21,C69)=0,1,0)</f>
        <v/>
      </c>
      <c r="J69" s="9">
        <f>IF(E69&lt;=0,1,0)</f>
        <v/>
      </c>
      <c r="K69" s="9">
        <f>IF(COUNTIF(raw_reservations!$A$2:$A$152,B69)=0,1,0)</f>
        <v/>
      </c>
      <c r="L69" s="9">
        <f>IF(K69=1,0,IF(INDEX(raw_reservations!$B$2:$B$152,MATCH(B69,raw_reservations!$A$2:$A$152,0))&lt;&gt;C69,1,0))</f>
        <v/>
      </c>
      <c r="M69" s="9">
        <f>IF(AND(H69=0,I69=0,J69=0,K69=0,G69="received"),1,0)</f>
        <v/>
      </c>
      <c r="N69" s="10">
        <f>E69*M69</f>
        <v/>
      </c>
      <c r="O69" s="9">
        <f>IF(AND(D69&gt;=Dashboard!$C$5,D69&lt;=Dashboard!$C$6),1,0)</f>
        <v/>
      </c>
      <c r="P69" s="10">
        <f>N69*O69</f>
        <v/>
      </c>
      <c r="Q69" s="9">
        <f>IF(H69=1,"Исключено: дубль",IF(I69=1,"Исключено: нет объекта",IF(K69=1,"Исключено: нет брони",IF(J69=1,"Исключено: сумма 0","OK"))))</f>
        <v/>
      </c>
    </row>
    <row r="70">
      <c r="A70" s="9">
        <f>raw_payments!A70</f>
        <v/>
      </c>
      <c r="B70" s="9">
        <f>raw_payments!B70</f>
        <v/>
      </c>
      <c r="C70" s="9">
        <f>raw_payments!C70</f>
        <v/>
      </c>
      <c r="D70" s="24">
        <f>raw_payments!D70</f>
        <v/>
      </c>
      <c r="E70" s="10">
        <f>raw_payments!E70</f>
        <v/>
      </c>
      <c r="F70" s="9">
        <f>raw_payments!F70</f>
        <v/>
      </c>
      <c r="G70" s="9">
        <f>raw_payments!G70</f>
        <v/>
      </c>
      <c r="H70" s="9">
        <f>IF(COUNTIF(A$2:A70,A70)&gt;1,1,0)</f>
        <v/>
      </c>
      <c r="I70" s="9">
        <f>IF(COUNTIF(properties!$A$2:$A$21,C70)=0,1,0)</f>
        <v/>
      </c>
      <c r="J70" s="9">
        <f>IF(E70&lt;=0,1,0)</f>
        <v/>
      </c>
      <c r="K70" s="9">
        <f>IF(COUNTIF(raw_reservations!$A$2:$A$152,B70)=0,1,0)</f>
        <v/>
      </c>
      <c r="L70" s="9">
        <f>IF(K70=1,0,IF(INDEX(raw_reservations!$B$2:$B$152,MATCH(B70,raw_reservations!$A$2:$A$152,0))&lt;&gt;C70,1,0))</f>
        <v/>
      </c>
      <c r="M70" s="9">
        <f>IF(AND(H70=0,I70=0,J70=0,K70=0,G70="received"),1,0)</f>
        <v/>
      </c>
      <c r="N70" s="10">
        <f>E70*M70</f>
        <v/>
      </c>
      <c r="O70" s="9">
        <f>IF(AND(D70&gt;=Dashboard!$C$5,D70&lt;=Dashboard!$C$6),1,0)</f>
        <v/>
      </c>
      <c r="P70" s="10">
        <f>N70*O70</f>
        <v/>
      </c>
      <c r="Q70" s="9">
        <f>IF(H70=1,"Исключено: дубль",IF(I70=1,"Исключено: нет объекта",IF(K70=1,"Исключено: нет брони",IF(J70=1,"Исключено: сумма 0","OK"))))</f>
        <v/>
      </c>
    </row>
    <row r="71">
      <c r="A71" s="9">
        <f>raw_payments!A71</f>
        <v/>
      </c>
      <c r="B71" s="9">
        <f>raw_payments!B71</f>
        <v/>
      </c>
      <c r="C71" s="9">
        <f>raw_payments!C71</f>
        <v/>
      </c>
      <c r="D71" s="24">
        <f>raw_payments!D71</f>
        <v/>
      </c>
      <c r="E71" s="10">
        <f>raw_payments!E71</f>
        <v/>
      </c>
      <c r="F71" s="9">
        <f>raw_payments!F71</f>
        <v/>
      </c>
      <c r="G71" s="9">
        <f>raw_payments!G71</f>
        <v/>
      </c>
      <c r="H71" s="9">
        <f>IF(COUNTIF(A$2:A71,A71)&gt;1,1,0)</f>
        <v/>
      </c>
      <c r="I71" s="9">
        <f>IF(COUNTIF(properties!$A$2:$A$21,C71)=0,1,0)</f>
        <v/>
      </c>
      <c r="J71" s="9">
        <f>IF(E71&lt;=0,1,0)</f>
        <v/>
      </c>
      <c r="K71" s="9">
        <f>IF(COUNTIF(raw_reservations!$A$2:$A$152,B71)=0,1,0)</f>
        <v/>
      </c>
      <c r="L71" s="9">
        <f>IF(K71=1,0,IF(INDEX(raw_reservations!$B$2:$B$152,MATCH(B71,raw_reservations!$A$2:$A$152,0))&lt;&gt;C71,1,0))</f>
        <v/>
      </c>
      <c r="M71" s="9">
        <f>IF(AND(H71=0,I71=0,J71=0,K71=0,G71="received"),1,0)</f>
        <v/>
      </c>
      <c r="N71" s="10">
        <f>E71*M71</f>
        <v/>
      </c>
      <c r="O71" s="9">
        <f>IF(AND(D71&gt;=Dashboard!$C$5,D71&lt;=Dashboard!$C$6),1,0)</f>
        <v/>
      </c>
      <c r="P71" s="10">
        <f>N71*O71</f>
        <v/>
      </c>
      <c r="Q71" s="9">
        <f>IF(H71=1,"Исключено: дубль",IF(I71=1,"Исключено: нет объекта",IF(K71=1,"Исключено: нет брони",IF(J71=1,"Исключено: сумма 0","OK"))))</f>
        <v/>
      </c>
    </row>
    <row r="72">
      <c r="A72" s="9">
        <f>raw_payments!A72</f>
        <v/>
      </c>
      <c r="B72" s="9">
        <f>raw_payments!B72</f>
        <v/>
      </c>
      <c r="C72" s="9">
        <f>raw_payments!C72</f>
        <v/>
      </c>
      <c r="D72" s="24">
        <f>raw_payments!D72</f>
        <v/>
      </c>
      <c r="E72" s="10">
        <f>raw_payments!E72</f>
        <v/>
      </c>
      <c r="F72" s="9">
        <f>raw_payments!F72</f>
        <v/>
      </c>
      <c r="G72" s="9">
        <f>raw_payments!G72</f>
        <v/>
      </c>
      <c r="H72" s="9">
        <f>IF(COUNTIF(A$2:A72,A72)&gt;1,1,0)</f>
        <v/>
      </c>
      <c r="I72" s="9">
        <f>IF(COUNTIF(properties!$A$2:$A$21,C72)=0,1,0)</f>
        <v/>
      </c>
      <c r="J72" s="9">
        <f>IF(E72&lt;=0,1,0)</f>
        <v/>
      </c>
      <c r="K72" s="9">
        <f>IF(COUNTIF(raw_reservations!$A$2:$A$152,B72)=0,1,0)</f>
        <v/>
      </c>
      <c r="L72" s="9">
        <f>IF(K72=1,0,IF(INDEX(raw_reservations!$B$2:$B$152,MATCH(B72,raw_reservations!$A$2:$A$152,0))&lt;&gt;C72,1,0))</f>
        <v/>
      </c>
      <c r="M72" s="9">
        <f>IF(AND(H72=0,I72=0,J72=0,K72=0,G72="received"),1,0)</f>
        <v/>
      </c>
      <c r="N72" s="10">
        <f>E72*M72</f>
        <v/>
      </c>
      <c r="O72" s="9">
        <f>IF(AND(D72&gt;=Dashboard!$C$5,D72&lt;=Dashboard!$C$6),1,0)</f>
        <v/>
      </c>
      <c r="P72" s="10">
        <f>N72*O72</f>
        <v/>
      </c>
      <c r="Q72" s="9">
        <f>IF(H72=1,"Исключено: дубль",IF(I72=1,"Исключено: нет объекта",IF(K72=1,"Исключено: нет брони",IF(J72=1,"Исключено: сумма 0","OK"))))</f>
        <v/>
      </c>
    </row>
    <row r="73">
      <c r="A73" s="9">
        <f>raw_payments!A73</f>
        <v/>
      </c>
      <c r="B73" s="9">
        <f>raw_payments!B73</f>
        <v/>
      </c>
      <c r="C73" s="9">
        <f>raw_payments!C73</f>
        <v/>
      </c>
      <c r="D73" s="24">
        <f>raw_payments!D73</f>
        <v/>
      </c>
      <c r="E73" s="10">
        <f>raw_payments!E73</f>
        <v/>
      </c>
      <c r="F73" s="9">
        <f>raw_payments!F73</f>
        <v/>
      </c>
      <c r="G73" s="9">
        <f>raw_payments!G73</f>
        <v/>
      </c>
      <c r="H73" s="9">
        <f>IF(COUNTIF(A$2:A73,A73)&gt;1,1,0)</f>
        <v/>
      </c>
      <c r="I73" s="9">
        <f>IF(COUNTIF(properties!$A$2:$A$21,C73)=0,1,0)</f>
        <v/>
      </c>
      <c r="J73" s="9">
        <f>IF(E73&lt;=0,1,0)</f>
        <v/>
      </c>
      <c r="K73" s="9">
        <f>IF(COUNTIF(raw_reservations!$A$2:$A$152,B73)=0,1,0)</f>
        <v/>
      </c>
      <c r="L73" s="9">
        <f>IF(K73=1,0,IF(INDEX(raw_reservations!$B$2:$B$152,MATCH(B73,raw_reservations!$A$2:$A$152,0))&lt;&gt;C73,1,0))</f>
        <v/>
      </c>
      <c r="M73" s="9">
        <f>IF(AND(H73=0,I73=0,J73=0,K73=0,G73="received"),1,0)</f>
        <v/>
      </c>
      <c r="N73" s="10">
        <f>E73*M73</f>
        <v/>
      </c>
      <c r="O73" s="9">
        <f>IF(AND(D73&gt;=Dashboard!$C$5,D73&lt;=Dashboard!$C$6),1,0)</f>
        <v/>
      </c>
      <c r="P73" s="10">
        <f>N73*O73</f>
        <v/>
      </c>
      <c r="Q73" s="9">
        <f>IF(H73=1,"Исключено: дубль",IF(I73=1,"Исключено: нет объекта",IF(K73=1,"Исключено: нет брони",IF(J73=1,"Исключено: сумма 0","OK"))))</f>
        <v/>
      </c>
    </row>
    <row r="74">
      <c r="A74" s="9">
        <f>raw_payments!A74</f>
        <v/>
      </c>
      <c r="B74" s="9">
        <f>raw_payments!B74</f>
        <v/>
      </c>
      <c r="C74" s="9">
        <f>raw_payments!C74</f>
        <v/>
      </c>
      <c r="D74" s="24">
        <f>raw_payments!D74</f>
        <v/>
      </c>
      <c r="E74" s="10">
        <f>raw_payments!E74</f>
        <v/>
      </c>
      <c r="F74" s="9">
        <f>raw_payments!F74</f>
        <v/>
      </c>
      <c r="G74" s="9">
        <f>raw_payments!G74</f>
        <v/>
      </c>
      <c r="H74" s="9">
        <f>IF(COUNTIF(A$2:A74,A74)&gt;1,1,0)</f>
        <v/>
      </c>
      <c r="I74" s="9">
        <f>IF(COUNTIF(properties!$A$2:$A$21,C74)=0,1,0)</f>
        <v/>
      </c>
      <c r="J74" s="9">
        <f>IF(E74&lt;=0,1,0)</f>
        <v/>
      </c>
      <c r="K74" s="9">
        <f>IF(COUNTIF(raw_reservations!$A$2:$A$152,B74)=0,1,0)</f>
        <v/>
      </c>
      <c r="L74" s="9">
        <f>IF(K74=1,0,IF(INDEX(raw_reservations!$B$2:$B$152,MATCH(B74,raw_reservations!$A$2:$A$152,0))&lt;&gt;C74,1,0))</f>
        <v/>
      </c>
      <c r="M74" s="9">
        <f>IF(AND(H74=0,I74=0,J74=0,K74=0,G74="received"),1,0)</f>
        <v/>
      </c>
      <c r="N74" s="10">
        <f>E74*M74</f>
        <v/>
      </c>
      <c r="O74" s="9">
        <f>IF(AND(D74&gt;=Dashboard!$C$5,D74&lt;=Dashboard!$C$6),1,0)</f>
        <v/>
      </c>
      <c r="P74" s="10">
        <f>N74*O74</f>
        <v/>
      </c>
      <c r="Q74" s="9">
        <f>IF(H74=1,"Исключено: дубль",IF(I74=1,"Исключено: нет объекта",IF(K74=1,"Исключено: нет брони",IF(J74=1,"Исключено: сумма 0","OK"))))</f>
        <v/>
      </c>
    </row>
    <row r="75">
      <c r="A75" s="9">
        <f>raw_payments!A75</f>
        <v/>
      </c>
      <c r="B75" s="9">
        <f>raw_payments!B75</f>
        <v/>
      </c>
      <c r="C75" s="9">
        <f>raw_payments!C75</f>
        <v/>
      </c>
      <c r="D75" s="24">
        <f>raw_payments!D75</f>
        <v/>
      </c>
      <c r="E75" s="10">
        <f>raw_payments!E75</f>
        <v/>
      </c>
      <c r="F75" s="9">
        <f>raw_payments!F75</f>
        <v/>
      </c>
      <c r="G75" s="9">
        <f>raw_payments!G75</f>
        <v/>
      </c>
      <c r="H75" s="9">
        <f>IF(COUNTIF(A$2:A75,A75)&gt;1,1,0)</f>
        <v/>
      </c>
      <c r="I75" s="9">
        <f>IF(COUNTIF(properties!$A$2:$A$21,C75)=0,1,0)</f>
        <v/>
      </c>
      <c r="J75" s="9">
        <f>IF(E75&lt;=0,1,0)</f>
        <v/>
      </c>
      <c r="K75" s="9">
        <f>IF(COUNTIF(raw_reservations!$A$2:$A$152,B75)=0,1,0)</f>
        <v/>
      </c>
      <c r="L75" s="9">
        <f>IF(K75=1,0,IF(INDEX(raw_reservations!$B$2:$B$152,MATCH(B75,raw_reservations!$A$2:$A$152,0))&lt;&gt;C75,1,0))</f>
        <v/>
      </c>
      <c r="M75" s="9">
        <f>IF(AND(H75=0,I75=0,J75=0,K75=0,G75="received"),1,0)</f>
        <v/>
      </c>
      <c r="N75" s="10">
        <f>E75*M75</f>
        <v/>
      </c>
      <c r="O75" s="9">
        <f>IF(AND(D75&gt;=Dashboard!$C$5,D75&lt;=Dashboard!$C$6),1,0)</f>
        <v/>
      </c>
      <c r="P75" s="10">
        <f>N75*O75</f>
        <v/>
      </c>
      <c r="Q75" s="9">
        <f>IF(H75=1,"Исключено: дубль",IF(I75=1,"Исключено: нет объекта",IF(K75=1,"Исключено: нет брони",IF(J75=1,"Исключено: сумма 0","OK"))))</f>
        <v/>
      </c>
    </row>
    <row r="76">
      <c r="A76" s="9">
        <f>raw_payments!A76</f>
        <v/>
      </c>
      <c r="B76" s="9">
        <f>raw_payments!B76</f>
        <v/>
      </c>
      <c r="C76" s="9">
        <f>raw_payments!C76</f>
        <v/>
      </c>
      <c r="D76" s="24">
        <f>raw_payments!D76</f>
        <v/>
      </c>
      <c r="E76" s="10">
        <f>raw_payments!E76</f>
        <v/>
      </c>
      <c r="F76" s="9">
        <f>raw_payments!F76</f>
        <v/>
      </c>
      <c r="G76" s="9">
        <f>raw_payments!G76</f>
        <v/>
      </c>
      <c r="H76" s="9">
        <f>IF(COUNTIF(A$2:A76,A76)&gt;1,1,0)</f>
        <v/>
      </c>
      <c r="I76" s="9">
        <f>IF(COUNTIF(properties!$A$2:$A$21,C76)=0,1,0)</f>
        <v/>
      </c>
      <c r="J76" s="9">
        <f>IF(E76&lt;=0,1,0)</f>
        <v/>
      </c>
      <c r="K76" s="9">
        <f>IF(COUNTIF(raw_reservations!$A$2:$A$152,B76)=0,1,0)</f>
        <v/>
      </c>
      <c r="L76" s="9">
        <f>IF(K76=1,0,IF(INDEX(raw_reservations!$B$2:$B$152,MATCH(B76,raw_reservations!$A$2:$A$152,0))&lt;&gt;C76,1,0))</f>
        <v/>
      </c>
      <c r="M76" s="9">
        <f>IF(AND(H76=0,I76=0,J76=0,K76=0,G76="received"),1,0)</f>
        <v/>
      </c>
      <c r="N76" s="10">
        <f>E76*M76</f>
        <v/>
      </c>
      <c r="O76" s="9">
        <f>IF(AND(D76&gt;=Dashboard!$C$5,D76&lt;=Dashboard!$C$6),1,0)</f>
        <v/>
      </c>
      <c r="P76" s="10">
        <f>N76*O76</f>
        <v/>
      </c>
      <c r="Q76" s="9">
        <f>IF(H76=1,"Исключено: дубль",IF(I76=1,"Исключено: нет объекта",IF(K76=1,"Исключено: нет брони",IF(J76=1,"Исключено: сумма 0","OK"))))</f>
        <v/>
      </c>
    </row>
    <row r="77">
      <c r="A77" s="9">
        <f>raw_payments!A77</f>
        <v/>
      </c>
      <c r="B77" s="9">
        <f>raw_payments!B77</f>
        <v/>
      </c>
      <c r="C77" s="9">
        <f>raw_payments!C77</f>
        <v/>
      </c>
      <c r="D77" s="24">
        <f>raw_payments!D77</f>
        <v/>
      </c>
      <c r="E77" s="10">
        <f>raw_payments!E77</f>
        <v/>
      </c>
      <c r="F77" s="9">
        <f>raw_payments!F77</f>
        <v/>
      </c>
      <c r="G77" s="9">
        <f>raw_payments!G77</f>
        <v/>
      </c>
      <c r="H77" s="9">
        <f>IF(COUNTIF(A$2:A77,A77)&gt;1,1,0)</f>
        <v/>
      </c>
      <c r="I77" s="9">
        <f>IF(COUNTIF(properties!$A$2:$A$21,C77)=0,1,0)</f>
        <v/>
      </c>
      <c r="J77" s="9">
        <f>IF(E77&lt;=0,1,0)</f>
        <v/>
      </c>
      <c r="K77" s="9">
        <f>IF(COUNTIF(raw_reservations!$A$2:$A$152,B77)=0,1,0)</f>
        <v/>
      </c>
      <c r="L77" s="9">
        <f>IF(K77=1,0,IF(INDEX(raw_reservations!$B$2:$B$152,MATCH(B77,raw_reservations!$A$2:$A$152,0))&lt;&gt;C77,1,0))</f>
        <v/>
      </c>
      <c r="M77" s="9">
        <f>IF(AND(H77=0,I77=0,J77=0,K77=0,G77="received"),1,0)</f>
        <v/>
      </c>
      <c r="N77" s="10">
        <f>E77*M77</f>
        <v/>
      </c>
      <c r="O77" s="9">
        <f>IF(AND(D77&gt;=Dashboard!$C$5,D77&lt;=Dashboard!$C$6),1,0)</f>
        <v/>
      </c>
      <c r="P77" s="10">
        <f>N77*O77</f>
        <v/>
      </c>
      <c r="Q77" s="9">
        <f>IF(H77=1,"Исключено: дубль",IF(I77=1,"Исключено: нет объекта",IF(K77=1,"Исключено: нет брони",IF(J77=1,"Исключено: сумма 0","OK"))))</f>
        <v/>
      </c>
    </row>
  </sheetData>
  <autoFilter ref="A1:Q7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E7A9E"/>
    <outlinePr summaryBelow="1" summaryRight="1"/>
    <pageSetUpPr/>
  </sheetPr>
  <dimension ref="A1:O9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11" customWidth="1" min="3" max="3"/>
    <col width="12" customWidth="1" min="4" max="4"/>
    <col width="12" customWidth="1" min="5" max="5"/>
    <col width="8" customWidth="1" min="6" max="6"/>
    <col width="9" customWidth="1" min="7" max="7"/>
    <col width="8" customWidth="1" min="8" max="8"/>
    <col width="8" customWidth="1" min="9" max="9"/>
    <col width="8" customWidth="1" min="10" max="10"/>
    <col width="8" customWidth="1" min="11" max="11"/>
    <col width="12" customWidth="1" min="12" max="12"/>
    <col width="12" customWidth="1" min="13" max="13"/>
    <col width="12" customWidth="1" min="14" max="14"/>
    <col width="22" customWidth="1" min="15" max="15"/>
  </cols>
  <sheetData>
    <row r="1" ht="30" customHeight="1">
      <c r="A1" s="13" t="inlineStr">
        <is>
          <t>expense_id</t>
        </is>
      </c>
      <c r="B1" s="13" t="inlineStr">
        <is>
          <t>property_id</t>
        </is>
      </c>
      <c r="C1" s="13" t="inlineStr">
        <is>
          <t>expense_date</t>
        </is>
      </c>
      <c r="D1" s="13" t="inlineStr">
        <is>
          <t>category</t>
        </is>
      </c>
      <c r="E1" s="13" t="inlineStr">
        <is>
          <t>amount</t>
        </is>
      </c>
      <c r="F1" s="13" t="inlineStr">
        <is>
          <t>currency</t>
        </is>
      </c>
      <c r="G1" s="13" t="inlineStr">
        <is>
          <t>payment_status</t>
        </is>
      </c>
      <c r="H1" s="23" t="inlineStr">
        <is>
          <t>chk: нет объекта</t>
        </is>
      </c>
      <c r="I1" s="23" t="inlineStr">
        <is>
          <t>chk: дубль ID</t>
        </is>
      </c>
      <c r="J1" s="13" t="inlineStr">
        <is>
          <t>в расчёте</t>
        </is>
      </c>
      <c r="K1" s="13" t="inlineStr">
        <is>
          <t>в периоде</t>
        </is>
      </c>
      <c r="L1" s="13" t="inlineStr">
        <is>
          <t>расход · период</t>
        </is>
      </c>
      <c r="M1" s="13" t="inlineStr">
        <is>
          <t>оплачено · период</t>
        </is>
      </c>
      <c r="N1" s="13" t="inlineStr">
        <is>
          <t>pending · период</t>
        </is>
      </c>
      <c r="O1" s="13" t="inlineStr">
        <is>
          <t>решение</t>
        </is>
      </c>
    </row>
    <row r="2">
      <c r="A2" s="9">
        <f>raw_expenses!A2</f>
        <v/>
      </c>
      <c r="B2" s="9">
        <f>raw_expenses!B2</f>
        <v/>
      </c>
      <c r="C2" s="24">
        <f>raw_expenses!C2</f>
        <v/>
      </c>
      <c r="D2" s="9">
        <f>raw_expenses!D2</f>
        <v/>
      </c>
      <c r="E2" s="10">
        <f>raw_expenses!E2</f>
        <v/>
      </c>
      <c r="F2" s="9">
        <f>raw_expenses!F2</f>
        <v/>
      </c>
      <c r="G2" s="9">
        <f>raw_expenses!G2</f>
        <v/>
      </c>
      <c r="H2" s="9">
        <f>IF(COUNTIF(properties!$A$2:$A$21,B2)=0,1,0)</f>
        <v/>
      </c>
      <c r="I2" s="9">
        <f>IF(COUNTIF(A$2:A2,A2)&gt;1,1,0)</f>
        <v/>
      </c>
      <c r="J2" s="9">
        <f>IF(H2+I2=0,1,0)</f>
        <v/>
      </c>
      <c r="K2" s="9">
        <f>IF(AND(C2&gt;=Dashboard!$C$5,C2&lt;=Dashboard!$C$6),1,0)</f>
        <v/>
      </c>
      <c r="L2" s="10">
        <f>E2*J2*K2</f>
        <v/>
      </c>
      <c r="M2" s="10">
        <f>IF(G2="paid",L2,0)</f>
        <v/>
      </c>
      <c r="N2" s="10">
        <f>IF(G2="paid",0,L2)</f>
        <v/>
      </c>
      <c r="O2" s="9">
        <f>IF(H2=1,"Исключено: нет объекта",IF(I2=1,"Исключено: дубль","OK"))</f>
        <v/>
      </c>
    </row>
    <row r="3">
      <c r="A3" s="9">
        <f>raw_expenses!A3</f>
        <v/>
      </c>
      <c r="B3" s="9">
        <f>raw_expenses!B3</f>
        <v/>
      </c>
      <c r="C3" s="24">
        <f>raw_expenses!C3</f>
        <v/>
      </c>
      <c r="D3" s="9">
        <f>raw_expenses!D3</f>
        <v/>
      </c>
      <c r="E3" s="10">
        <f>raw_expenses!E3</f>
        <v/>
      </c>
      <c r="F3" s="9">
        <f>raw_expenses!F3</f>
        <v/>
      </c>
      <c r="G3" s="9">
        <f>raw_expenses!G3</f>
        <v/>
      </c>
      <c r="H3" s="9">
        <f>IF(COUNTIF(properties!$A$2:$A$21,B3)=0,1,0)</f>
        <v/>
      </c>
      <c r="I3" s="9">
        <f>IF(COUNTIF(A$2:A3,A3)&gt;1,1,0)</f>
        <v/>
      </c>
      <c r="J3" s="9">
        <f>IF(H3+I3=0,1,0)</f>
        <v/>
      </c>
      <c r="K3" s="9">
        <f>IF(AND(C3&gt;=Dashboard!$C$5,C3&lt;=Dashboard!$C$6),1,0)</f>
        <v/>
      </c>
      <c r="L3" s="10">
        <f>E3*J3*K3</f>
        <v/>
      </c>
      <c r="M3" s="10">
        <f>IF(G3="paid",L3,0)</f>
        <v/>
      </c>
      <c r="N3" s="10">
        <f>IF(G3="paid",0,L3)</f>
        <v/>
      </c>
      <c r="O3" s="9">
        <f>IF(H3=1,"Исключено: нет объекта",IF(I3=1,"Исключено: дубль","OK"))</f>
        <v/>
      </c>
    </row>
    <row r="4">
      <c r="A4" s="9">
        <f>raw_expenses!A4</f>
        <v/>
      </c>
      <c r="B4" s="9">
        <f>raw_expenses!B4</f>
        <v/>
      </c>
      <c r="C4" s="24">
        <f>raw_expenses!C4</f>
        <v/>
      </c>
      <c r="D4" s="9">
        <f>raw_expenses!D4</f>
        <v/>
      </c>
      <c r="E4" s="10">
        <f>raw_expenses!E4</f>
        <v/>
      </c>
      <c r="F4" s="9">
        <f>raw_expenses!F4</f>
        <v/>
      </c>
      <c r="G4" s="9">
        <f>raw_expenses!G4</f>
        <v/>
      </c>
      <c r="H4" s="9">
        <f>IF(COUNTIF(properties!$A$2:$A$21,B4)=0,1,0)</f>
        <v/>
      </c>
      <c r="I4" s="9">
        <f>IF(COUNTIF(A$2:A4,A4)&gt;1,1,0)</f>
        <v/>
      </c>
      <c r="J4" s="9">
        <f>IF(H4+I4=0,1,0)</f>
        <v/>
      </c>
      <c r="K4" s="9">
        <f>IF(AND(C4&gt;=Dashboard!$C$5,C4&lt;=Dashboard!$C$6),1,0)</f>
        <v/>
      </c>
      <c r="L4" s="10">
        <f>E4*J4*K4</f>
        <v/>
      </c>
      <c r="M4" s="10">
        <f>IF(G4="paid",L4,0)</f>
        <v/>
      </c>
      <c r="N4" s="10">
        <f>IF(G4="paid",0,L4)</f>
        <v/>
      </c>
      <c r="O4" s="9">
        <f>IF(H4=1,"Исключено: нет объекта",IF(I4=1,"Исключено: дубль","OK"))</f>
        <v/>
      </c>
    </row>
    <row r="5">
      <c r="A5" s="9">
        <f>raw_expenses!A5</f>
        <v/>
      </c>
      <c r="B5" s="9">
        <f>raw_expenses!B5</f>
        <v/>
      </c>
      <c r="C5" s="24">
        <f>raw_expenses!C5</f>
        <v/>
      </c>
      <c r="D5" s="9">
        <f>raw_expenses!D5</f>
        <v/>
      </c>
      <c r="E5" s="10">
        <f>raw_expenses!E5</f>
        <v/>
      </c>
      <c r="F5" s="9">
        <f>raw_expenses!F5</f>
        <v/>
      </c>
      <c r="G5" s="9">
        <f>raw_expenses!G5</f>
        <v/>
      </c>
      <c r="H5" s="9">
        <f>IF(COUNTIF(properties!$A$2:$A$21,B5)=0,1,0)</f>
        <v/>
      </c>
      <c r="I5" s="9">
        <f>IF(COUNTIF(A$2:A5,A5)&gt;1,1,0)</f>
        <v/>
      </c>
      <c r="J5" s="9">
        <f>IF(H5+I5=0,1,0)</f>
        <v/>
      </c>
      <c r="K5" s="9">
        <f>IF(AND(C5&gt;=Dashboard!$C$5,C5&lt;=Dashboard!$C$6),1,0)</f>
        <v/>
      </c>
      <c r="L5" s="10">
        <f>E5*J5*K5</f>
        <v/>
      </c>
      <c r="M5" s="10">
        <f>IF(G5="paid",L5,0)</f>
        <v/>
      </c>
      <c r="N5" s="10">
        <f>IF(G5="paid",0,L5)</f>
        <v/>
      </c>
      <c r="O5" s="9">
        <f>IF(H5=1,"Исключено: нет объекта",IF(I5=1,"Исключено: дубль","OK"))</f>
        <v/>
      </c>
    </row>
    <row r="6">
      <c r="A6" s="9">
        <f>raw_expenses!A6</f>
        <v/>
      </c>
      <c r="B6" s="9">
        <f>raw_expenses!B6</f>
        <v/>
      </c>
      <c r="C6" s="24">
        <f>raw_expenses!C6</f>
        <v/>
      </c>
      <c r="D6" s="9">
        <f>raw_expenses!D6</f>
        <v/>
      </c>
      <c r="E6" s="10">
        <f>raw_expenses!E6</f>
        <v/>
      </c>
      <c r="F6" s="9">
        <f>raw_expenses!F6</f>
        <v/>
      </c>
      <c r="G6" s="9">
        <f>raw_expenses!G6</f>
        <v/>
      </c>
      <c r="H6" s="9">
        <f>IF(COUNTIF(properties!$A$2:$A$21,B6)=0,1,0)</f>
        <v/>
      </c>
      <c r="I6" s="9">
        <f>IF(COUNTIF(A$2:A6,A6)&gt;1,1,0)</f>
        <v/>
      </c>
      <c r="J6" s="9">
        <f>IF(H6+I6=0,1,0)</f>
        <v/>
      </c>
      <c r="K6" s="9">
        <f>IF(AND(C6&gt;=Dashboard!$C$5,C6&lt;=Dashboard!$C$6),1,0)</f>
        <v/>
      </c>
      <c r="L6" s="10">
        <f>E6*J6*K6</f>
        <v/>
      </c>
      <c r="M6" s="10">
        <f>IF(G6="paid",L6,0)</f>
        <v/>
      </c>
      <c r="N6" s="10">
        <f>IF(G6="paid",0,L6)</f>
        <v/>
      </c>
      <c r="O6" s="9">
        <f>IF(H6=1,"Исключено: нет объекта",IF(I6=1,"Исключено: дубль","OK"))</f>
        <v/>
      </c>
    </row>
    <row r="7">
      <c r="A7" s="9">
        <f>raw_expenses!A7</f>
        <v/>
      </c>
      <c r="B7" s="9">
        <f>raw_expenses!B7</f>
        <v/>
      </c>
      <c r="C7" s="24">
        <f>raw_expenses!C7</f>
        <v/>
      </c>
      <c r="D7" s="9">
        <f>raw_expenses!D7</f>
        <v/>
      </c>
      <c r="E7" s="10">
        <f>raw_expenses!E7</f>
        <v/>
      </c>
      <c r="F7" s="9">
        <f>raw_expenses!F7</f>
        <v/>
      </c>
      <c r="G7" s="9">
        <f>raw_expenses!G7</f>
        <v/>
      </c>
      <c r="H7" s="9">
        <f>IF(COUNTIF(properties!$A$2:$A$21,B7)=0,1,0)</f>
        <v/>
      </c>
      <c r="I7" s="9">
        <f>IF(COUNTIF(A$2:A7,A7)&gt;1,1,0)</f>
        <v/>
      </c>
      <c r="J7" s="9">
        <f>IF(H7+I7=0,1,0)</f>
        <v/>
      </c>
      <c r="K7" s="9">
        <f>IF(AND(C7&gt;=Dashboard!$C$5,C7&lt;=Dashboard!$C$6),1,0)</f>
        <v/>
      </c>
      <c r="L7" s="10">
        <f>E7*J7*K7</f>
        <v/>
      </c>
      <c r="M7" s="10">
        <f>IF(G7="paid",L7,0)</f>
        <v/>
      </c>
      <c r="N7" s="10">
        <f>IF(G7="paid",0,L7)</f>
        <v/>
      </c>
      <c r="O7" s="9">
        <f>IF(H7=1,"Исключено: нет объекта",IF(I7=1,"Исключено: дубль","OK"))</f>
        <v/>
      </c>
    </row>
    <row r="8">
      <c r="A8" s="9">
        <f>raw_expenses!A8</f>
        <v/>
      </c>
      <c r="B8" s="9">
        <f>raw_expenses!B8</f>
        <v/>
      </c>
      <c r="C8" s="24">
        <f>raw_expenses!C8</f>
        <v/>
      </c>
      <c r="D8" s="9">
        <f>raw_expenses!D8</f>
        <v/>
      </c>
      <c r="E8" s="10">
        <f>raw_expenses!E8</f>
        <v/>
      </c>
      <c r="F8" s="9">
        <f>raw_expenses!F8</f>
        <v/>
      </c>
      <c r="G8" s="9">
        <f>raw_expenses!G8</f>
        <v/>
      </c>
      <c r="H8" s="9">
        <f>IF(COUNTIF(properties!$A$2:$A$21,B8)=0,1,0)</f>
        <v/>
      </c>
      <c r="I8" s="9">
        <f>IF(COUNTIF(A$2:A8,A8)&gt;1,1,0)</f>
        <v/>
      </c>
      <c r="J8" s="9">
        <f>IF(H8+I8=0,1,0)</f>
        <v/>
      </c>
      <c r="K8" s="9">
        <f>IF(AND(C8&gt;=Dashboard!$C$5,C8&lt;=Dashboard!$C$6),1,0)</f>
        <v/>
      </c>
      <c r="L8" s="10">
        <f>E8*J8*K8</f>
        <v/>
      </c>
      <c r="M8" s="10">
        <f>IF(G8="paid",L8,0)</f>
        <v/>
      </c>
      <c r="N8" s="10">
        <f>IF(G8="paid",0,L8)</f>
        <v/>
      </c>
      <c r="O8" s="9">
        <f>IF(H8=1,"Исключено: нет объекта",IF(I8=1,"Исключено: дубль","OK"))</f>
        <v/>
      </c>
    </row>
    <row r="9">
      <c r="A9" s="9">
        <f>raw_expenses!A9</f>
        <v/>
      </c>
      <c r="B9" s="9">
        <f>raw_expenses!B9</f>
        <v/>
      </c>
      <c r="C9" s="24">
        <f>raw_expenses!C9</f>
        <v/>
      </c>
      <c r="D9" s="9">
        <f>raw_expenses!D9</f>
        <v/>
      </c>
      <c r="E9" s="10">
        <f>raw_expenses!E9</f>
        <v/>
      </c>
      <c r="F9" s="9">
        <f>raw_expenses!F9</f>
        <v/>
      </c>
      <c r="G9" s="9">
        <f>raw_expenses!G9</f>
        <v/>
      </c>
      <c r="H9" s="9">
        <f>IF(COUNTIF(properties!$A$2:$A$21,B9)=0,1,0)</f>
        <v/>
      </c>
      <c r="I9" s="9">
        <f>IF(COUNTIF(A$2:A9,A9)&gt;1,1,0)</f>
        <v/>
      </c>
      <c r="J9" s="9">
        <f>IF(H9+I9=0,1,0)</f>
        <v/>
      </c>
      <c r="K9" s="9">
        <f>IF(AND(C9&gt;=Dashboard!$C$5,C9&lt;=Dashboard!$C$6),1,0)</f>
        <v/>
      </c>
      <c r="L9" s="10">
        <f>E9*J9*K9</f>
        <v/>
      </c>
      <c r="M9" s="10">
        <f>IF(G9="paid",L9,0)</f>
        <v/>
      </c>
      <c r="N9" s="10">
        <f>IF(G9="paid",0,L9)</f>
        <v/>
      </c>
      <c r="O9" s="9">
        <f>IF(H9=1,"Исключено: нет объекта",IF(I9=1,"Исключено: дубль","OK"))</f>
        <v/>
      </c>
    </row>
    <row r="10">
      <c r="A10" s="9">
        <f>raw_expenses!A10</f>
        <v/>
      </c>
      <c r="B10" s="9">
        <f>raw_expenses!B10</f>
        <v/>
      </c>
      <c r="C10" s="24">
        <f>raw_expenses!C10</f>
        <v/>
      </c>
      <c r="D10" s="9">
        <f>raw_expenses!D10</f>
        <v/>
      </c>
      <c r="E10" s="10">
        <f>raw_expenses!E10</f>
        <v/>
      </c>
      <c r="F10" s="9">
        <f>raw_expenses!F10</f>
        <v/>
      </c>
      <c r="G10" s="9">
        <f>raw_expenses!G10</f>
        <v/>
      </c>
      <c r="H10" s="9">
        <f>IF(COUNTIF(properties!$A$2:$A$21,B10)=0,1,0)</f>
        <v/>
      </c>
      <c r="I10" s="9">
        <f>IF(COUNTIF(A$2:A10,A10)&gt;1,1,0)</f>
        <v/>
      </c>
      <c r="J10" s="9">
        <f>IF(H10+I10=0,1,0)</f>
        <v/>
      </c>
      <c r="K10" s="9">
        <f>IF(AND(C10&gt;=Dashboard!$C$5,C10&lt;=Dashboard!$C$6),1,0)</f>
        <v/>
      </c>
      <c r="L10" s="10">
        <f>E10*J10*K10</f>
        <v/>
      </c>
      <c r="M10" s="10">
        <f>IF(G10="paid",L10,0)</f>
        <v/>
      </c>
      <c r="N10" s="10">
        <f>IF(G10="paid",0,L10)</f>
        <v/>
      </c>
      <c r="O10" s="9">
        <f>IF(H10=1,"Исключено: нет объекта",IF(I10=1,"Исключено: дубль","OK"))</f>
        <v/>
      </c>
    </row>
    <row r="11">
      <c r="A11" s="9">
        <f>raw_expenses!A11</f>
        <v/>
      </c>
      <c r="B11" s="9">
        <f>raw_expenses!B11</f>
        <v/>
      </c>
      <c r="C11" s="24">
        <f>raw_expenses!C11</f>
        <v/>
      </c>
      <c r="D11" s="9">
        <f>raw_expenses!D11</f>
        <v/>
      </c>
      <c r="E11" s="10">
        <f>raw_expenses!E11</f>
        <v/>
      </c>
      <c r="F11" s="9">
        <f>raw_expenses!F11</f>
        <v/>
      </c>
      <c r="G11" s="9">
        <f>raw_expenses!G11</f>
        <v/>
      </c>
      <c r="H11" s="9">
        <f>IF(COUNTIF(properties!$A$2:$A$21,B11)=0,1,0)</f>
        <v/>
      </c>
      <c r="I11" s="9">
        <f>IF(COUNTIF(A$2:A11,A11)&gt;1,1,0)</f>
        <v/>
      </c>
      <c r="J11" s="9">
        <f>IF(H11+I11=0,1,0)</f>
        <v/>
      </c>
      <c r="K11" s="9">
        <f>IF(AND(C11&gt;=Dashboard!$C$5,C11&lt;=Dashboard!$C$6),1,0)</f>
        <v/>
      </c>
      <c r="L11" s="10">
        <f>E11*J11*K11</f>
        <v/>
      </c>
      <c r="M11" s="10">
        <f>IF(G11="paid",L11,0)</f>
        <v/>
      </c>
      <c r="N11" s="10">
        <f>IF(G11="paid",0,L11)</f>
        <v/>
      </c>
      <c r="O11" s="9">
        <f>IF(H11=1,"Исключено: нет объекта",IF(I11=1,"Исключено: дубль","OK"))</f>
        <v/>
      </c>
    </row>
    <row r="12">
      <c r="A12" s="9">
        <f>raw_expenses!A12</f>
        <v/>
      </c>
      <c r="B12" s="9">
        <f>raw_expenses!B12</f>
        <v/>
      </c>
      <c r="C12" s="24">
        <f>raw_expenses!C12</f>
        <v/>
      </c>
      <c r="D12" s="9">
        <f>raw_expenses!D12</f>
        <v/>
      </c>
      <c r="E12" s="10">
        <f>raw_expenses!E12</f>
        <v/>
      </c>
      <c r="F12" s="9">
        <f>raw_expenses!F12</f>
        <v/>
      </c>
      <c r="G12" s="9">
        <f>raw_expenses!G12</f>
        <v/>
      </c>
      <c r="H12" s="9">
        <f>IF(COUNTIF(properties!$A$2:$A$21,B12)=0,1,0)</f>
        <v/>
      </c>
      <c r="I12" s="9">
        <f>IF(COUNTIF(A$2:A12,A12)&gt;1,1,0)</f>
        <v/>
      </c>
      <c r="J12" s="9">
        <f>IF(H12+I12=0,1,0)</f>
        <v/>
      </c>
      <c r="K12" s="9">
        <f>IF(AND(C12&gt;=Dashboard!$C$5,C12&lt;=Dashboard!$C$6),1,0)</f>
        <v/>
      </c>
      <c r="L12" s="10">
        <f>E12*J12*K12</f>
        <v/>
      </c>
      <c r="M12" s="10">
        <f>IF(G12="paid",L12,0)</f>
        <v/>
      </c>
      <c r="N12" s="10">
        <f>IF(G12="paid",0,L12)</f>
        <v/>
      </c>
      <c r="O12" s="9">
        <f>IF(H12=1,"Исключено: нет объекта",IF(I12=1,"Исключено: дубль","OK"))</f>
        <v/>
      </c>
    </row>
    <row r="13">
      <c r="A13" s="9">
        <f>raw_expenses!A13</f>
        <v/>
      </c>
      <c r="B13" s="9">
        <f>raw_expenses!B13</f>
        <v/>
      </c>
      <c r="C13" s="24">
        <f>raw_expenses!C13</f>
        <v/>
      </c>
      <c r="D13" s="9">
        <f>raw_expenses!D13</f>
        <v/>
      </c>
      <c r="E13" s="10">
        <f>raw_expenses!E13</f>
        <v/>
      </c>
      <c r="F13" s="9">
        <f>raw_expenses!F13</f>
        <v/>
      </c>
      <c r="G13" s="9">
        <f>raw_expenses!G13</f>
        <v/>
      </c>
      <c r="H13" s="9">
        <f>IF(COUNTIF(properties!$A$2:$A$21,B13)=0,1,0)</f>
        <v/>
      </c>
      <c r="I13" s="9">
        <f>IF(COUNTIF(A$2:A13,A13)&gt;1,1,0)</f>
        <v/>
      </c>
      <c r="J13" s="9">
        <f>IF(H13+I13=0,1,0)</f>
        <v/>
      </c>
      <c r="K13" s="9">
        <f>IF(AND(C13&gt;=Dashboard!$C$5,C13&lt;=Dashboard!$C$6),1,0)</f>
        <v/>
      </c>
      <c r="L13" s="10">
        <f>E13*J13*K13</f>
        <v/>
      </c>
      <c r="M13" s="10">
        <f>IF(G13="paid",L13,0)</f>
        <v/>
      </c>
      <c r="N13" s="10">
        <f>IF(G13="paid",0,L13)</f>
        <v/>
      </c>
      <c r="O13" s="9">
        <f>IF(H13=1,"Исключено: нет объекта",IF(I13=1,"Исключено: дубль","OK"))</f>
        <v/>
      </c>
    </row>
    <row r="14">
      <c r="A14" s="9">
        <f>raw_expenses!A14</f>
        <v/>
      </c>
      <c r="B14" s="9">
        <f>raw_expenses!B14</f>
        <v/>
      </c>
      <c r="C14" s="24">
        <f>raw_expenses!C14</f>
        <v/>
      </c>
      <c r="D14" s="9">
        <f>raw_expenses!D14</f>
        <v/>
      </c>
      <c r="E14" s="10">
        <f>raw_expenses!E14</f>
        <v/>
      </c>
      <c r="F14" s="9">
        <f>raw_expenses!F14</f>
        <v/>
      </c>
      <c r="G14" s="9">
        <f>raw_expenses!G14</f>
        <v/>
      </c>
      <c r="H14" s="9">
        <f>IF(COUNTIF(properties!$A$2:$A$21,B14)=0,1,0)</f>
        <v/>
      </c>
      <c r="I14" s="9">
        <f>IF(COUNTIF(A$2:A14,A14)&gt;1,1,0)</f>
        <v/>
      </c>
      <c r="J14" s="9">
        <f>IF(H14+I14=0,1,0)</f>
        <v/>
      </c>
      <c r="K14" s="9">
        <f>IF(AND(C14&gt;=Dashboard!$C$5,C14&lt;=Dashboard!$C$6),1,0)</f>
        <v/>
      </c>
      <c r="L14" s="10">
        <f>E14*J14*K14</f>
        <v/>
      </c>
      <c r="M14" s="10">
        <f>IF(G14="paid",L14,0)</f>
        <v/>
      </c>
      <c r="N14" s="10">
        <f>IF(G14="paid",0,L14)</f>
        <v/>
      </c>
      <c r="O14" s="9">
        <f>IF(H14=1,"Исключено: нет объекта",IF(I14=1,"Исключено: дубль","OK"))</f>
        <v/>
      </c>
    </row>
    <row r="15">
      <c r="A15" s="9">
        <f>raw_expenses!A15</f>
        <v/>
      </c>
      <c r="B15" s="9">
        <f>raw_expenses!B15</f>
        <v/>
      </c>
      <c r="C15" s="24">
        <f>raw_expenses!C15</f>
        <v/>
      </c>
      <c r="D15" s="9">
        <f>raw_expenses!D15</f>
        <v/>
      </c>
      <c r="E15" s="10">
        <f>raw_expenses!E15</f>
        <v/>
      </c>
      <c r="F15" s="9">
        <f>raw_expenses!F15</f>
        <v/>
      </c>
      <c r="G15" s="9">
        <f>raw_expenses!G15</f>
        <v/>
      </c>
      <c r="H15" s="9">
        <f>IF(COUNTIF(properties!$A$2:$A$21,B15)=0,1,0)</f>
        <v/>
      </c>
      <c r="I15" s="9">
        <f>IF(COUNTIF(A$2:A15,A15)&gt;1,1,0)</f>
        <v/>
      </c>
      <c r="J15" s="9">
        <f>IF(H15+I15=0,1,0)</f>
        <v/>
      </c>
      <c r="K15" s="9">
        <f>IF(AND(C15&gt;=Dashboard!$C$5,C15&lt;=Dashboard!$C$6),1,0)</f>
        <v/>
      </c>
      <c r="L15" s="10">
        <f>E15*J15*K15</f>
        <v/>
      </c>
      <c r="M15" s="10">
        <f>IF(G15="paid",L15,0)</f>
        <v/>
      </c>
      <c r="N15" s="10">
        <f>IF(G15="paid",0,L15)</f>
        <v/>
      </c>
      <c r="O15" s="9">
        <f>IF(H15=1,"Исключено: нет объекта",IF(I15=1,"Исключено: дубль","OK"))</f>
        <v/>
      </c>
    </row>
    <row r="16">
      <c r="A16" s="9">
        <f>raw_expenses!A16</f>
        <v/>
      </c>
      <c r="B16" s="9">
        <f>raw_expenses!B16</f>
        <v/>
      </c>
      <c r="C16" s="24">
        <f>raw_expenses!C16</f>
        <v/>
      </c>
      <c r="D16" s="9">
        <f>raw_expenses!D16</f>
        <v/>
      </c>
      <c r="E16" s="10">
        <f>raw_expenses!E16</f>
        <v/>
      </c>
      <c r="F16" s="9">
        <f>raw_expenses!F16</f>
        <v/>
      </c>
      <c r="G16" s="9">
        <f>raw_expenses!G16</f>
        <v/>
      </c>
      <c r="H16" s="9">
        <f>IF(COUNTIF(properties!$A$2:$A$21,B16)=0,1,0)</f>
        <v/>
      </c>
      <c r="I16" s="9">
        <f>IF(COUNTIF(A$2:A16,A16)&gt;1,1,0)</f>
        <v/>
      </c>
      <c r="J16" s="9">
        <f>IF(H16+I16=0,1,0)</f>
        <v/>
      </c>
      <c r="K16" s="9">
        <f>IF(AND(C16&gt;=Dashboard!$C$5,C16&lt;=Dashboard!$C$6),1,0)</f>
        <v/>
      </c>
      <c r="L16" s="10">
        <f>E16*J16*K16</f>
        <v/>
      </c>
      <c r="M16" s="10">
        <f>IF(G16="paid",L16,0)</f>
        <v/>
      </c>
      <c r="N16" s="10">
        <f>IF(G16="paid",0,L16)</f>
        <v/>
      </c>
      <c r="O16" s="9">
        <f>IF(H16=1,"Исключено: нет объекта",IF(I16=1,"Исключено: дубль","OK"))</f>
        <v/>
      </c>
    </row>
    <row r="17">
      <c r="A17" s="9">
        <f>raw_expenses!A17</f>
        <v/>
      </c>
      <c r="B17" s="9">
        <f>raw_expenses!B17</f>
        <v/>
      </c>
      <c r="C17" s="24">
        <f>raw_expenses!C17</f>
        <v/>
      </c>
      <c r="D17" s="9">
        <f>raw_expenses!D17</f>
        <v/>
      </c>
      <c r="E17" s="10">
        <f>raw_expenses!E17</f>
        <v/>
      </c>
      <c r="F17" s="9">
        <f>raw_expenses!F17</f>
        <v/>
      </c>
      <c r="G17" s="9">
        <f>raw_expenses!G17</f>
        <v/>
      </c>
      <c r="H17" s="9">
        <f>IF(COUNTIF(properties!$A$2:$A$21,B17)=0,1,0)</f>
        <v/>
      </c>
      <c r="I17" s="9">
        <f>IF(COUNTIF(A$2:A17,A17)&gt;1,1,0)</f>
        <v/>
      </c>
      <c r="J17" s="9">
        <f>IF(H17+I17=0,1,0)</f>
        <v/>
      </c>
      <c r="K17" s="9">
        <f>IF(AND(C17&gt;=Dashboard!$C$5,C17&lt;=Dashboard!$C$6),1,0)</f>
        <v/>
      </c>
      <c r="L17" s="10">
        <f>E17*J17*K17</f>
        <v/>
      </c>
      <c r="M17" s="10">
        <f>IF(G17="paid",L17,0)</f>
        <v/>
      </c>
      <c r="N17" s="10">
        <f>IF(G17="paid",0,L17)</f>
        <v/>
      </c>
      <c r="O17" s="9">
        <f>IF(H17=1,"Исключено: нет объекта",IF(I17=1,"Исключено: дубль","OK"))</f>
        <v/>
      </c>
    </row>
    <row r="18">
      <c r="A18" s="9">
        <f>raw_expenses!A18</f>
        <v/>
      </c>
      <c r="B18" s="9">
        <f>raw_expenses!B18</f>
        <v/>
      </c>
      <c r="C18" s="24">
        <f>raw_expenses!C18</f>
        <v/>
      </c>
      <c r="D18" s="9">
        <f>raw_expenses!D18</f>
        <v/>
      </c>
      <c r="E18" s="10">
        <f>raw_expenses!E18</f>
        <v/>
      </c>
      <c r="F18" s="9">
        <f>raw_expenses!F18</f>
        <v/>
      </c>
      <c r="G18" s="9">
        <f>raw_expenses!G18</f>
        <v/>
      </c>
      <c r="H18" s="9">
        <f>IF(COUNTIF(properties!$A$2:$A$21,B18)=0,1,0)</f>
        <v/>
      </c>
      <c r="I18" s="9">
        <f>IF(COUNTIF(A$2:A18,A18)&gt;1,1,0)</f>
        <v/>
      </c>
      <c r="J18" s="9">
        <f>IF(H18+I18=0,1,0)</f>
        <v/>
      </c>
      <c r="K18" s="9">
        <f>IF(AND(C18&gt;=Dashboard!$C$5,C18&lt;=Dashboard!$C$6),1,0)</f>
        <v/>
      </c>
      <c r="L18" s="10">
        <f>E18*J18*K18</f>
        <v/>
      </c>
      <c r="M18" s="10">
        <f>IF(G18="paid",L18,0)</f>
        <v/>
      </c>
      <c r="N18" s="10">
        <f>IF(G18="paid",0,L18)</f>
        <v/>
      </c>
      <c r="O18" s="9">
        <f>IF(H18=1,"Исключено: нет объекта",IF(I18=1,"Исключено: дубль","OK"))</f>
        <v/>
      </c>
    </row>
    <row r="19">
      <c r="A19" s="9">
        <f>raw_expenses!A19</f>
        <v/>
      </c>
      <c r="B19" s="9">
        <f>raw_expenses!B19</f>
        <v/>
      </c>
      <c r="C19" s="24">
        <f>raw_expenses!C19</f>
        <v/>
      </c>
      <c r="D19" s="9">
        <f>raw_expenses!D19</f>
        <v/>
      </c>
      <c r="E19" s="10">
        <f>raw_expenses!E19</f>
        <v/>
      </c>
      <c r="F19" s="9">
        <f>raw_expenses!F19</f>
        <v/>
      </c>
      <c r="G19" s="9">
        <f>raw_expenses!G19</f>
        <v/>
      </c>
      <c r="H19" s="9">
        <f>IF(COUNTIF(properties!$A$2:$A$21,B19)=0,1,0)</f>
        <v/>
      </c>
      <c r="I19" s="9">
        <f>IF(COUNTIF(A$2:A19,A19)&gt;1,1,0)</f>
        <v/>
      </c>
      <c r="J19" s="9">
        <f>IF(H19+I19=0,1,0)</f>
        <v/>
      </c>
      <c r="K19" s="9">
        <f>IF(AND(C19&gt;=Dashboard!$C$5,C19&lt;=Dashboard!$C$6),1,0)</f>
        <v/>
      </c>
      <c r="L19" s="10">
        <f>E19*J19*K19</f>
        <v/>
      </c>
      <c r="M19" s="10">
        <f>IF(G19="paid",L19,0)</f>
        <v/>
      </c>
      <c r="N19" s="10">
        <f>IF(G19="paid",0,L19)</f>
        <v/>
      </c>
      <c r="O19" s="9">
        <f>IF(H19=1,"Исключено: нет объекта",IF(I19=1,"Исключено: дубль","OK"))</f>
        <v/>
      </c>
    </row>
    <row r="20">
      <c r="A20" s="9">
        <f>raw_expenses!A20</f>
        <v/>
      </c>
      <c r="B20" s="9">
        <f>raw_expenses!B20</f>
        <v/>
      </c>
      <c r="C20" s="24">
        <f>raw_expenses!C20</f>
        <v/>
      </c>
      <c r="D20" s="9">
        <f>raw_expenses!D20</f>
        <v/>
      </c>
      <c r="E20" s="10">
        <f>raw_expenses!E20</f>
        <v/>
      </c>
      <c r="F20" s="9">
        <f>raw_expenses!F20</f>
        <v/>
      </c>
      <c r="G20" s="9">
        <f>raw_expenses!G20</f>
        <v/>
      </c>
      <c r="H20" s="9">
        <f>IF(COUNTIF(properties!$A$2:$A$21,B20)=0,1,0)</f>
        <v/>
      </c>
      <c r="I20" s="9">
        <f>IF(COUNTIF(A$2:A20,A20)&gt;1,1,0)</f>
        <v/>
      </c>
      <c r="J20" s="9">
        <f>IF(H20+I20=0,1,0)</f>
        <v/>
      </c>
      <c r="K20" s="9">
        <f>IF(AND(C20&gt;=Dashboard!$C$5,C20&lt;=Dashboard!$C$6),1,0)</f>
        <v/>
      </c>
      <c r="L20" s="10">
        <f>E20*J20*K20</f>
        <v/>
      </c>
      <c r="M20" s="10">
        <f>IF(G20="paid",L20,0)</f>
        <v/>
      </c>
      <c r="N20" s="10">
        <f>IF(G20="paid",0,L20)</f>
        <v/>
      </c>
      <c r="O20" s="9">
        <f>IF(H20=1,"Исключено: нет объекта",IF(I20=1,"Исключено: дубль","OK"))</f>
        <v/>
      </c>
    </row>
    <row r="21">
      <c r="A21" s="9">
        <f>raw_expenses!A21</f>
        <v/>
      </c>
      <c r="B21" s="9">
        <f>raw_expenses!B21</f>
        <v/>
      </c>
      <c r="C21" s="24">
        <f>raw_expenses!C21</f>
        <v/>
      </c>
      <c r="D21" s="9">
        <f>raw_expenses!D21</f>
        <v/>
      </c>
      <c r="E21" s="10">
        <f>raw_expenses!E21</f>
        <v/>
      </c>
      <c r="F21" s="9">
        <f>raw_expenses!F21</f>
        <v/>
      </c>
      <c r="G21" s="9">
        <f>raw_expenses!G21</f>
        <v/>
      </c>
      <c r="H21" s="9">
        <f>IF(COUNTIF(properties!$A$2:$A$21,B21)=0,1,0)</f>
        <v/>
      </c>
      <c r="I21" s="9">
        <f>IF(COUNTIF(A$2:A21,A21)&gt;1,1,0)</f>
        <v/>
      </c>
      <c r="J21" s="9">
        <f>IF(H21+I21=0,1,0)</f>
        <v/>
      </c>
      <c r="K21" s="9">
        <f>IF(AND(C21&gt;=Dashboard!$C$5,C21&lt;=Dashboard!$C$6),1,0)</f>
        <v/>
      </c>
      <c r="L21" s="10">
        <f>E21*J21*K21</f>
        <v/>
      </c>
      <c r="M21" s="10">
        <f>IF(G21="paid",L21,0)</f>
        <v/>
      </c>
      <c r="N21" s="10">
        <f>IF(G21="paid",0,L21)</f>
        <v/>
      </c>
      <c r="O21" s="9">
        <f>IF(H21=1,"Исключено: нет объекта",IF(I21=1,"Исключено: дубль","OK"))</f>
        <v/>
      </c>
    </row>
    <row r="22">
      <c r="A22" s="9">
        <f>raw_expenses!A22</f>
        <v/>
      </c>
      <c r="B22" s="9">
        <f>raw_expenses!B22</f>
        <v/>
      </c>
      <c r="C22" s="24">
        <f>raw_expenses!C22</f>
        <v/>
      </c>
      <c r="D22" s="9">
        <f>raw_expenses!D22</f>
        <v/>
      </c>
      <c r="E22" s="10">
        <f>raw_expenses!E22</f>
        <v/>
      </c>
      <c r="F22" s="9">
        <f>raw_expenses!F22</f>
        <v/>
      </c>
      <c r="G22" s="9">
        <f>raw_expenses!G22</f>
        <v/>
      </c>
      <c r="H22" s="9">
        <f>IF(COUNTIF(properties!$A$2:$A$21,B22)=0,1,0)</f>
        <v/>
      </c>
      <c r="I22" s="9">
        <f>IF(COUNTIF(A$2:A22,A22)&gt;1,1,0)</f>
        <v/>
      </c>
      <c r="J22" s="9">
        <f>IF(H22+I22=0,1,0)</f>
        <v/>
      </c>
      <c r="K22" s="9">
        <f>IF(AND(C22&gt;=Dashboard!$C$5,C22&lt;=Dashboard!$C$6),1,0)</f>
        <v/>
      </c>
      <c r="L22" s="10">
        <f>E22*J22*K22</f>
        <v/>
      </c>
      <c r="M22" s="10">
        <f>IF(G22="paid",L22,0)</f>
        <v/>
      </c>
      <c r="N22" s="10">
        <f>IF(G22="paid",0,L22)</f>
        <v/>
      </c>
      <c r="O22" s="9">
        <f>IF(H22=1,"Исключено: нет объекта",IF(I22=1,"Исключено: дубль","OK"))</f>
        <v/>
      </c>
    </row>
    <row r="23">
      <c r="A23" s="9">
        <f>raw_expenses!A23</f>
        <v/>
      </c>
      <c r="B23" s="9">
        <f>raw_expenses!B23</f>
        <v/>
      </c>
      <c r="C23" s="24">
        <f>raw_expenses!C23</f>
        <v/>
      </c>
      <c r="D23" s="9">
        <f>raw_expenses!D23</f>
        <v/>
      </c>
      <c r="E23" s="10">
        <f>raw_expenses!E23</f>
        <v/>
      </c>
      <c r="F23" s="9">
        <f>raw_expenses!F23</f>
        <v/>
      </c>
      <c r="G23" s="9">
        <f>raw_expenses!G23</f>
        <v/>
      </c>
      <c r="H23" s="9">
        <f>IF(COUNTIF(properties!$A$2:$A$21,B23)=0,1,0)</f>
        <v/>
      </c>
      <c r="I23" s="9">
        <f>IF(COUNTIF(A$2:A23,A23)&gt;1,1,0)</f>
        <v/>
      </c>
      <c r="J23" s="9">
        <f>IF(H23+I23=0,1,0)</f>
        <v/>
      </c>
      <c r="K23" s="9">
        <f>IF(AND(C23&gt;=Dashboard!$C$5,C23&lt;=Dashboard!$C$6),1,0)</f>
        <v/>
      </c>
      <c r="L23" s="10">
        <f>E23*J23*K23</f>
        <v/>
      </c>
      <c r="M23" s="10">
        <f>IF(G23="paid",L23,0)</f>
        <v/>
      </c>
      <c r="N23" s="10">
        <f>IF(G23="paid",0,L23)</f>
        <v/>
      </c>
      <c r="O23" s="9">
        <f>IF(H23=1,"Исключено: нет объекта",IF(I23=1,"Исключено: дубль","OK"))</f>
        <v/>
      </c>
    </row>
    <row r="24">
      <c r="A24" s="9">
        <f>raw_expenses!A24</f>
        <v/>
      </c>
      <c r="B24" s="9">
        <f>raw_expenses!B24</f>
        <v/>
      </c>
      <c r="C24" s="24">
        <f>raw_expenses!C24</f>
        <v/>
      </c>
      <c r="D24" s="9">
        <f>raw_expenses!D24</f>
        <v/>
      </c>
      <c r="E24" s="10">
        <f>raw_expenses!E24</f>
        <v/>
      </c>
      <c r="F24" s="9">
        <f>raw_expenses!F24</f>
        <v/>
      </c>
      <c r="G24" s="9">
        <f>raw_expenses!G24</f>
        <v/>
      </c>
      <c r="H24" s="9">
        <f>IF(COUNTIF(properties!$A$2:$A$21,B24)=0,1,0)</f>
        <v/>
      </c>
      <c r="I24" s="9">
        <f>IF(COUNTIF(A$2:A24,A24)&gt;1,1,0)</f>
        <v/>
      </c>
      <c r="J24" s="9">
        <f>IF(H24+I24=0,1,0)</f>
        <v/>
      </c>
      <c r="K24" s="9">
        <f>IF(AND(C24&gt;=Dashboard!$C$5,C24&lt;=Dashboard!$C$6),1,0)</f>
        <v/>
      </c>
      <c r="L24" s="10">
        <f>E24*J24*K24</f>
        <v/>
      </c>
      <c r="M24" s="10">
        <f>IF(G24="paid",L24,0)</f>
        <v/>
      </c>
      <c r="N24" s="10">
        <f>IF(G24="paid",0,L24)</f>
        <v/>
      </c>
      <c r="O24" s="9">
        <f>IF(H24=1,"Исключено: нет объекта",IF(I24=1,"Исключено: дубль","OK"))</f>
        <v/>
      </c>
    </row>
    <row r="25">
      <c r="A25" s="9">
        <f>raw_expenses!A25</f>
        <v/>
      </c>
      <c r="B25" s="9">
        <f>raw_expenses!B25</f>
        <v/>
      </c>
      <c r="C25" s="24">
        <f>raw_expenses!C25</f>
        <v/>
      </c>
      <c r="D25" s="9">
        <f>raw_expenses!D25</f>
        <v/>
      </c>
      <c r="E25" s="10">
        <f>raw_expenses!E25</f>
        <v/>
      </c>
      <c r="F25" s="9">
        <f>raw_expenses!F25</f>
        <v/>
      </c>
      <c r="G25" s="9">
        <f>raw_expenses!G25</f>
        <v/>
      </c>
      <c r="H25" s="9">
        <f>IF(COUNTIF(properties!$A$2:$A$21,B25)=0,1,0)</f>
        <v/>
      </c>
      <c r="I25" s="9">
        <f>IF(COUNTIF(A$2:A25,A25)&gt;1,1,0)</f>
        <v/>
      </c>
      <c r="J25" s="9">
        <f>IF(H25+I25=0,1,0)</f>
        <v/>
      </c>
      <c r="K25" s="9">
        <f>IF(AND(C25&gt;=Dashboard!$C$5,C25&lt;=Dashboard!$C$6),1,0)</f>
        <v/>
      </c>
      <c r="L25" s="10">
        <f>E25*J25*K25</f>
        <v/>
      </c>
      <c r="M25" s="10">
        <f>IF(G25="paid",L25,0)</f>
        <v/>
      </c>
      <c r="N25" s="10">
        <f>IF(G25="paid",0,L25)</f>
        <v/>
      </c>
      <c r="O25" s="9">
        <f>IF(H25=1,"Исключено: нет объекта",IF(I25=1,"Исключено: дубль","OK"))</f>
        <v/>
      </c>
    </row>
    <row r="26">
      <c r="A26" s="9">
        <f>raw_expenses!A26</f>
        <v/>
      </c>
      <c r="B26" s="9">
        <f>raw_expenses!B26</f>
        <v/>
      </c>
      <c r="C26" s="24">
        <f>raw_expenses!C26</f>
        <v/>
      </c>
      <c r="D26" s="9">
        <f>raw_expenses!D26</f>
        <v/>
      </c>
      <c r="E26" s="10">
        <f>raw_expenses!E26</f>
        <v/>
      </c>
      <c r="F26" s="9">
        <f>raw_expenses!F26</f>
        <v/>
      </c>
      <c r="G26" s="9">
        <f>raw_expenses!G26</f>
        <v/>
      </c>
      <c r="H26" s="9">
        <f>IF(COUNTIF(properties!$A$2:$A$21,B26)=0,1,0)</f>
        <v/>
      </c>
      <c r="I26" s="9">
        <f>IF(COUNTIF(A$2:A26,A26)&gt;1,1,0)</f>
        <v/>
      </c>
      <c r="J26" s="9">
        <f>IF(H26+I26=0,1,0)</f>
        <v/>
      </c>
      <c r="K26" s="9">
        <f>IF(AND(C26&gt;=Dashboard!$C$5,C26&lt;=Dashboard!$C$6),1,0)</f>
        <v/>
      </c>
      <c r="L26" s="10">
        <f>E26*J26*K26</f>
        <v/>
      </c>
      <c r="M26" s="10">
        <f>IF(G26="paid",L26,0)</f>
        <v/>
      </c>
      <c r="N26" s="10">
        <f>IF(G26="paid",0,L26)</f>
        <v/>
      </c>
      <c r="O26" s="9">
        <f>IF(H26=1,"Исключено: нет объекта",IF(I26=1,"Исключено: дубль","OK"))</f>
        <v/>
      </c>
    </row>
    <row r="27">
      <c r="A27" s="9">
        <f>raw_expenses!A27</f>
        <v/>
      </c>
      <c r="B27" s="9">
        <f>raw_expenses!B27</f>
        <v/>
      </c>
      <c r="C27" s="24">
        <f>raw_expenses!C27</f>
        <v/>
      </c>
      <c r="D27" s="9">
        <f>raw_expenses!D27</f>
        <v/>
      </c>
      <c r="E27" s="10">
        <f>raw_expenses!E27</f>
        <v/>
      </c>
      <c r="F27" s="9">
        <f>raw_expenses!F27</f>
        <v/>
      </c>
      <c r="G27" s="9">
        <f>raw_expenses!G27</f>
        <v/>
      </c>
      <c r="H27" s="9">
        <f>IF(COUNTIF(properties!$A$2:$A$21,B27)=0,1,0)</f>
        <v/>
      </c>
      <c r="I27" s="9">
        <f>IF(COUNTIF(A$2:A27,A27)&gt;1,1,0)</f>
        <v/>
      </c>
      <c r="J27" s="9">
        <f>IF(H27+I27=0,1,0)</f>
        <v/>
      </c>
      <c r="K27" s="9">
        <f>IF(AND(C27&gt;=Dashboard!$C$5,C27&lt;=Dashboard!$C$6),1,0)</f>
        <v/>
      </c>
      <c r="L27" s="10">
        <f>E27*J27*K27</f>
        <v/>
      </c>
      <c r="M27" s="10">
        <f>IF(G27="paid",L27,0)</f>
        <v/>
      </c>
      <c r="N27" s="10">
        <f>IF(G27="paid",0,L27)</f>
        <v/>
      </c>
      <c r="O27" s="9">
        <f>IF(H27=1,"Исключено: нет объекта",IF(I27=1,"Исключено: дубль","OK"))</f>
        <v/>
      </c>
    </row>
    <row r="28">
      <c r="A28" s="9">
        <f>raw_expenses!A28</f>
        <v/>
      </c>
      <c r="B28" s="9">
        <f>raw_expenses!B28</f>
        <v/>
      </c>
      <c r="C28" s="24">
        <f>raw_expenses!C28</f>
        <v/>
      </c>
      <c r="D28" s="9">
        <f>raw_expenses!D28</f>
        <v/>
      </c>
      <c r="E28" s="10">
        <f>raw_expenses!E28</f>
        <v/>
      </c>
      <c r="F28" s="9">
        <f>raw_expenses!F28</f>
        <v/>
      </c>
      <c r="G28" s="9">
        <f>raw_expenses!G28</f>
        <v/>
      </c>
      <c r="H28" s="9">
        <f>IF(COUNTIF(properties!$A$2:$A$21,B28)=0,1,0)</f>
        <v/>
      </c>
      <c r="I28" s="9">
        <f>IF(COUNTIF(A$2:A28,A28)&gt;1,1,0)</f>
        <v/>
      </c>
      <c r="J28" s="9">
        <f>IF(H28+I28=0,1,0)</f>
        <v/>
      </c>
      <c r="K28" s="9">
        <f>IF(AND(C28&gt;=Dashboard!$C$5,C28&lt;=Dashboard!$C$6),1,0)</f>
        <v/>
      </c>
      <c r="L28" s="10">
        <f>E28*J28*K28</f>
        <v/>
      </c>
      <c r="M28" s="10">
        <f>IF(G28="paid",L28,0)</f>
        <v/>
      </c>
      <c r="N28" s="10">
        <f>IF(G28="paid",0,L28)</f>
        <v/>
      </c>
      <c r="O28" s="9">
        <f>IF(H28=1,"Исключено: нет объекта",IF(I28=1,"Исключено: дубль","OK"))</f>
        <v/>
      </c>
    </row>
    <row r="29">
      <c r="A29" s="9">
        <f>raw_expenses!A29</f>
        <v/>
      </c>
      <c r="B29" s="9">
        <f>raw_expenses!B29</f>
        <v/>
      </c>
      <c r="C29" s="24">
        <f>raw_expenses!C29</f>
        <v/>
      </c>
      <c r="D29" s="9">
        <f>raw_expenses!D29</f>
        <v/>
      </c>
      <c r="E29" s="10">
        <f>raw_expenses!E29</f>
        <v/>
      </c>
      <c r="F29" s="9">
        <f>raw_expenses!F29</f>
        <v/>
      </c>
      <c r="G29" s="9">
        <f>raw_expenses!G29</f>
        <v/>
      </c>
      <c r="H29" s="9">
        <f>IF(COUNTIF(properties!$A$2:$A$21,B29)=0,1,0)</f>
        <v/>
      </c>
      <c r="I29" s="9">
        <f>IF(COUNTIF(A$2:A29,A29)&gt;1,1,0)</f>
        <v/>
      </c>
      <c r="J29" s="9">
        <f>IF(H29+I29=0,1,0)</f>
        <v/>
      </c>
      <c r="K29" s="9">
        <f>IF(AND(C29&gt;=Dashboard!$C$5,C29&lt;=Dashboard!$C$6),1,0)</f>
        <v/>
      </c>
      <c r="L29" s="10">
        <f>E29*J29*K29</f>
        <v/>
      </c>
      <c r="M29" s="10">
        <f>IF(G29="paid",L29,0)</f>
        <v/>
      </c>
      <c r="N29" s="10">
        <f>IF(G29="paid",0,L29)</f>
        <v/>
      </c>
      <c r="O29" s="9">
        <f>IF(H29=1,"Исключено: нет объекта",IF(I29=1,"Исключено: дубль","OK"))</f>
        <v/>
      </c>
    </row>
    <row r="30">
      <c r="A30" s="9">
        <f>raw_expenses!A30</f>
        <v/>
      </c>
      <c r="B30" s="9">
        <f>raw_expenses!B30</f>
        <v/>
      </c>
      <c r="C30" s="24">
        <f>raw_expenses!C30</f>
        <v/>
      </c>
      <c r="D30" s="9">
        <f>raw_expenses!D30</f>
        <v/>
      </c>
      <c r="E30" s="10">
        <f>raw_expenses!E30</f>
        <v/>
      </c>
      <c r="F30" s="9">
        <f>raw_expenses!F30</f>
        <v/>
      </c>
      <c r="G30" s="9">
        <f>raw_expenses!G30</f>
        <v/>
      </c>
      <c r="H30" s="9">
        <f>IF(COUNTIF(properties!$A$2:$A$21,B30)=0,1,0)</f>
        <v/>
      </c>
      <c r="I30" s="9">
        <f>IF(COUNTIF(A$2:A30,A30)&gt;1,1,0)</f>
        <v/>
      </c>
      <c r="J30" s="9">
        <f>IF(H30+I30=0,1,0)</f>
        <v/>
      </c>
      <c r="K30" s="9">
        <f>IF(AND(C30&gt;=Dashboard!$C$5,C30&lt;=Dashboard!$C$6),1,0)</f>
        <v/>
      </c>
      <c r="L30" s="10">
        <f>E30*J30*K30</f>
        <v/>
      </c>
      <c r="M30" s="10">
        <f>IF(G30="paid",L30,0)</f>
        <v/>
      </c>
      <c r="N30" s="10">
        <f>IF(G30="paid",0,L30)</f>
        <v/>
      </c>
      <c r="O30" s="9">
        <f>IF(H30=1,"Исключено: нет объекта",IF(I30=1,"Исключено: дубль","OK"))</f>
        <v/>
      </c>
    </row>
    <row r="31">
      <c r="A31" s="9">
        <f>raw_expenses!A31</f>
        <v/>
      </c>
      <c r="B31" s="9">
        <f>raw_expenses!B31</f>
        <v/>
      </c>
      <c r="C31" s="24">
        <f>raw_expenses!C31</f>
        <v/>
      </c>
      <c r="D31" s="9">
        <f>raw_expenses!D31</f>
        <v/>
      </c>
      <c r="E31" s="10">
        <f>raw_expenses!E31</f>
        <v/>
      </c>
      <c r="F31" s="9">
        <f>raw_expenses!F31</f>
        <v/>
      </c>
      <c r="G31" s="9">
        <f>raw_expenses!G31</f>
        <v/>
      </c>
      <c r="H31" s="9">
        <f>IF(COUNTIF(properties!$A$2:$A$21,B31)=0,1,0)</f>
        <v/>
      </c>
      <c r="I31" s="9">
        <f>IF(COUNTIF(A$2:A31,A31)&gt;1,1,0)</f>
        <v/>
      </c>
      <c r="J31" s="9">
        <f>IF(H31+I31=0,1,0)</f>
        <v/>
      </c>
      <c r="K31" s="9">
        <f>IF(AND(C31&gt;=Dashboard!$C$5,C31&lt;=Dashboard!$C$6),1,0)</f>
        <v/>
      </c>
      <c r="L31" s="10">
        <f>E31*J31*K31</f>
        <v/>
      </c>
      <c r="M31" s="10">
        <f>IF(G31="paid",L31,0)</f>
        <v/>
      </c>
      <c r="N31" s="10">
        <f>IF(G31="paid",0,L31)</f>
        <v/>
      </c>
      <c r="O31" s="9">
        <f>IF(H31=1,"Исключено: нет объекта",IF(I31=1,"Исключено: дубль","OK"))</f>
        <v/>
      </c>
    </row>
    <row r="32">
      <c r="A32" s="9">
        <f>raw_expenses!A32</f>
        <v/>
      </c>
      <c r="B32" s="9">
        <f>raw_expenses!B32</f>
        <v/>
      </c>
      <c r="C32" s="24">
        <f>raw_expenses!C32</f>
        <v/>
      </c>
      <c r="D32" s="9">
        <f>raw_expenses!D32</f>
        <v/>
      </c>
      <c r="E32" s="10">
        <f>raw_expenses!E32</f>
        <v/>
      </c>
      <c r="F32" s="9">
        <f>raw_expenses!F32</f>
        <v/>
      </c>
      <c r="G32" s="9">
        <f>raw_expenses!G32</f>
        <v/>
      </c>
      <c r="H32" s="9">
        <f>IF(COUNTIF(properties!$A$2:$A$21,B32)=0,1,0)</f>
        <v/>
      </c>
      <c r="I32" s="9">
        <f>IF(COUNTIF(A$2:A32,A32)&gt;1,1,0)</f>
        <v/>
      </c>
      <c r="J32" s="9">
        <f>IF(H32+I32=0,1,0)</f>
        <v/>
      </c>
      <c r="K32" s="9">
        <f>IF(AND(C32&gt;=Dashboard!$C$5,C32&lt;=Dashboard!$C$6),1,0)</f>
        <v/>
      </c>
      <c r="L32" s="10">
        <f>E32*J32*K32</f>
        <v/>
      </c>
      <c r="M32" s="10">
        <f>IF(G32="paid",L32,0)</f>
        <v/>
      </c>
      <c r="N32" s="10">
        <f>IF(G32="paid",0,L32)</f>
        <v/>
      </c>
      <c r="O32" s="9">
        <f>IF(H32=1,"Исключено: нет объекта",IF(I32=1,"Исключено: дубль","OK"))</f>
        <v/>
      </c>
    </row>
    <row r="33">
      <c r="A33" s="9">
        <f>raw_expenses!A33</f>
        <v/>
      </c>
      <c r="B33" s="9">
        <f>raw_expenses!B33</f>
        <v/>
      </c>
      <c r="C33" s="24">
        <f>raw_expenses!C33</f>
        <v/>
      </c>
      <c r="D33" s="9">
        <f>raw_expenses!D33</f>
        <v/>
      </c>
      <c r="E33" s="10">
        <f>raw_expenses!E33</f>
        <v/>
      </c>
      <c r="F33" s="9">
        <f>raw_expenses!F33</f>
        <v/>
      </c>
      <c r="G33" s="9">
        <f>raw_expenses!G33</f>
        <v/>
      </c>
      <c r="H33" s="9">
        <f>IF(COUNTIF(properties!$A$2:$A$21,B33)=0,1,0)</f>
        <v/>
      </c>
      <c r="I33" s="9">
        <f>IF(COUNTIF(A$2:A33,A33)&gt;1,1,0)</f>
        <v/>
      </c>
      <c r="J33" s="9">
        <f>IF(H33+I33=0,1,0)</f>
        <v/>
      </c>
      <c r="K33" s="9">
        <f>IF(AND(C33&gt;=Dashboard!$C$5,C33&lt;=Dashboard!$C$6),1,0)</f>
        <v/>
      </c>
      <c r="L33" s="10">
        <f>E33*J33*K33</f>
        <v/>
      </c>
      <c r="M33" s="10">
        <f>IF(G33="paid",L33,0)</f>
        <v/>
      </c>
      <c r="N33" s="10">
        <f>IF(G33="paid",0,L33)</f>
        <v/>
      </c>
      <c r="O33" s="9">
        <f>IF(H33=1,"Исключено: нет объекта",IF(I33=1,"Исключено: дубль","OK"))</f>
        <v/>
      </c>
    </row>
    <row r="34">
      <c r="A34" s="9">
        <f>raw_expenses!A34</f>
        <v/>
      </c>
      <c r="B34" s="9">
        <f>raw_expenses!B34</f>
        <v/>
      </c>
      <c r="C34" s="24">
        <f>raw_expenses!C34</f>
        <v/>
      </c>
      <c r="D34" s="9">
        <f>raw_expenses!D34</f>
        <v/>
      </c>
      <c r="E34" s="10">
        <f>raw_expenses!E34</f>
        <v/>
      </c>
      <c r="F34" s="9">
        <f>raw_expenses!F34</f>
        <v/>
      </c>
      <c r="G34" s="9">
        <f>raw_expenses!G34</f>
        <v/>
      </c>
      <c r="H34" s="9">
        <f>IF(COUNTIF(properties!$A$2:$A$21,B34)=0,1,0)</f>
        <v/>
      </c>
      <c r="I34" s="9">
        <f>IF(COUNTIF(A$2:A34,A34)&gt;1,1,0)</f>
        <v/>
      </c>
      <c r="J34" s="9">
        <f>IF(H34+I34=0,1,0)</f>
        <v/>
      </c>
      <c r="K34" s="9">
        <f>IF(AND(C34&gt;=Dashboard!$C$5,C34&lt;=Dashboard!$C$6),1,0)</f>
        <v/>
      </c>
      <c r="L34" s="10">
        <f>E34*J34*K34</f>
        <v/>
      </c>
      <c r="M34" s="10">
        <f>IF(G34="paid",L34,0)</f>
        <v/>
      </c>
      <c r="N34" s="10">
        <f>IF(G34="paid",0,L34)</f>
        <v/>
      </c>
      <c r="O34" s="9">
        <f>IF(H34=1,"Исключено: нет объекта",IF(I34=1,"Исключено: дубль","OK"))</f>
        <v/>
      </c>
    </row>
    <row r="35">
      <c r="A35" s="9">
        <f>raw_expenses!A35</f>
        <v/>
      </c>
      <c r="B35" s="9">
        <f>raw_expenses!B35</f>
        <v/>
      </c>
      <c r="C35" s="24">
        <f>raw_expenses!C35</f>
        <v/>
      </c>
      <c r="D35" s="9">
        <f>raw_expenses!D35</f>
        <v/>
      </c>
      <c r="E35" s="10">
        <f>raw_expenses!E35</f>
        <v/>
      </c>
      <c r="F35" s="9">
        <f>raw_expenses!F35</f>
        <v/>
      </c>
      <c r="G35" s="9">
        <f>raw_expenses!G35</f>
        <v/>
      </c>
      <c r="H35" s="9">
        <f>IF(COUNTIF(properties!$A$2:$A$21,B35)=0,1,0)</f>
        <v/>
      </c>
      <c r="I35" s="9">
        <f>IF(COUNTIF(A$2:A35,A35)&gt;1,1,0)</f>
        <v/>
      </c>
      <c r="J35" s="9">
        <f>IF(H35+I35=0,1,0)</f>
        <v/>
      </c>
      <c r="K35" s="9">
        <f>IF(AND(C35&gt;=Dashboard!$C$5,C35&lt;=Dashboard!$C$6),1,0)</f>
        <v/>
      </c>
      <c r="L35" s="10">
        <f>E35*J35*K35</f>
        <v/>
      </c>
      <c r="M35" s="10">
        <f>IF(G35="paid",L35,0)</f>
        <v/>
      </c>
      <c r="N35" s="10">
        <f>IF(G35="paid",0,L35)</f>
        <v/>
      </c>
      <c r="O35" s="9">
        <f>IF(H35=1,"Исключено: нет объекта",IF(I35=1,"Исключено: дубль","OK"))</f>
        <v/>
      </c>
    </row>
    <row r="36">
      <c r="A36" s="9">
        <f>raw_expenses!A36</f>
        <v/>
      </c>
      <c r="B36" s="9">
        <f>raw_expenses!B36</f>
        <v/>
      </c>
      <c r="C36" s="24">
        <f>raw_expenses!C36</f>
        <v/>
      </c>
      <c r="D36" s="9">
        <f>raw_expenses!D36</f>
        <v/>
      </c>
      <c r="E36" s="10">
        <f>raw_expenses!E36</f>
        <v/>
      </c>
      <c r="F36" s="9">
        <f>raw_expenses!F36</f>
        <v/>
      </c>
      <c r="G36" s="9">
        <f>raw_expenses!G36</f>
        <v/>
      </c>
      <c r="H36" s="9">
        <f>IF(COUNTIF(properties!$A$2:$A$21,B36)=0,1,0)</f>
        <v/>
      </c>
      <c r="I36" s="9">
        <f>IF(COUNTIF(A$2:A36,A36)&gt;1,1,0)</f>
        <v/>
      </c>
      <c r="J36" s="9">
        <f>IF(H36+I36=0,1,0)</f>
        <v/>
      </c>
      <c r="K36" s="9">
        <f>IF(AND(C36&gt;=Dashboard!$C$5,C36&lt;=Dashboard!$C$6),1,0)</f>
        <v/>
      </c>
      <c r="L36" s="10">
        <f>E36*J36*K36</f>
        <v/>
      </c>
      <c r="M36" s="10">
        <f>IF(G36="paid",L36,0)</f>
        <v/>
      </c>
      <c r="N36" s="10">
        <f>IF(G36="paid",0,L36)</f>
        <v/>
      </c>
      <c r="O36" s="9">
        <f>IF(H36=1,"Исключено: нет объекта",IF(I36=1,"Исключено: дубль","OK"))</f>
        <v/>
      </c>
    </row>
    <row r="37">
      <c r="A37" s="9">
        <f>raw_expenses!A37</f>
        <v/>
      </c>
      <c r="B37" s="9">
        <f>raw_expenses!B37</f>
        <v/>
      </c>
      <c r="C37" s="24">
        <f>raw_expenses!C37</f>
        <v/>
      </c>
      <c r="D37" s="9">
        <f>raw_expenses!D37</f>
        <v/>
      </c>
      <c r="E37" s="10">
        <f>raw_expenses!E37</f>
        <v/>
      </c>
      <c r="F37" s="9">
        <f>raw_expenses!F37</f>
        <v/>
      </c>
      <c r="G37" s="9">
        <f>raw_expenses!G37</f>
        <v/>
      </c>
      <c r="H37" s="9">
        <f>IF(COUNTIF(properties!$A$2:$A$21,B37)=0,1,0)</f>
        <v/>
      </c>
      <c r="I37" s="9">
        <f>IF(COUNTIF(A$2:A37,A37)&gt;1,1,0)</f>
        <v/>
      </c>
      <c r="J37" s="9">
        <f>IF(H37+I37=0,1,0)</f>
        <v/>
      </c>
      <c r="K37" s="9">
        <f>IF(AND(C37&gt;=Dashboard!$C$5,C37&lt;=Dashboard!$C$6),1,0)</f>
        <v/>
      </c>
      <c r="L37" s="10">
        <f>E37*J37*K37</f>
        <v/>
      </c>
      <c r="M37" s="10">
        <f>IF(G37="paid",L37,0)</f>
        <v/>
      </c>
      <c r="N37" s="10">
        <f>IF(G37="paid",0,L37)</f>
        <v/>
      </c>
      <c r="O37" s="9">
        <f>IF(H37=1,"Исключено: нет объекта",IF(I37=1,"Исключено: дубль","OK"))</f>
        <v/>
      </c>
    </row>
    <row r="38">
      <c r="A38" s="9">
        <f>raw_expenses!A38</f>
        <v/>
      </c>
      <c r="B38" s="9">
        <f>raw_expenses!B38</f>
        <v/>
      </c>
      <c r="C38" s="24">
        <f>raw_expenses!C38</f>
        <v/>
      </c>
      <c r="D38" s="9">
        <f>raw_expenses!D38</f>
        <v/>
      </c>
      <c r="E38" s="10">
        <f>raw_expenses!E38</f>
        <v/>
      </c>
      <c r="F38" s="9">
        <f>raw_expenses!F38</f>
        <v/>
      </c>
      <c r="G38" s="9">
        <f>raw_expenses!G38</f>
        <v/>
      </c>
      <c r="H38" s="9">
        <f>IF(COUNTIF(properties!$A$2:$A$21,B38)=0,1,0)</f>
        <v/>
      </c>
      <c r="I38" s="9">
        <f>IF(COUNTIF(A$2:A38,A38)&gt;1,1,0)</f>
        <v/>
      </c>
      <c r="J38" s="9">
        <f>IF(H38+I38=0,1,0)</f>
        <v/>
      </c>
      <c r="K38" s="9">
        <f>IF(AND(C38&gt;=Dashboard!$C$5,C38&lt;=Dashboard!$C$6),1,0)</f>
        <v/>
      </c>
      <c r="L38" s="10">
        <f>E38*J38*K38</f>
        <v/>
      </c>
      <c r="M38" s="10">
        <f>IF(G38="paid",L38,0)</f>
        <v/>
      </c>
      <c r="N38" s="10">
        <f>IF(G38="paid",0,L38)</f>
        <v/>
      </c>
      <c r="O38" s="9">
        <f>IF(H38=1,"Исключено: нет объекта",IF(I38=1,"Исключено: дубль","OK"))</f>
        <v/>
      </c>
    </row>
    <row r="39">
      <c r="A39" s="9">
        <f>raw_expenses!A39</f>
        <v/>
      </c>
      <c r="B39" s="9">
        <f>raw_expenses!B39</f>
        <v/>
      </c>
      <c r="C39" s="24">
        <f>raw_expenses!C39</f>
        <v/>
      </c>
      <c r="D39" s="9">
        <f>raw_expenses!D39</f>
        <v/>
      </c>
      <c r="E39" s="10">
        <f>raw_expenses!E39</f>
        <v/>
      </c>
      <c r="F39" s="9">
        <f>raw_expenses!F39</f>
        <v/>
      </c>
      <c r="G39" s="9">
        <f>raw_expenses!G39</f>
        <v/>
      </c>
      <c r="H39" s="9">
        <f>IF(COUNTIF(properties!$A$2:$A$21,B39)=0,1,0)</f>
        <v/>
      </c>
      <c r="I39" s="9">
        <f>IF(COUNTIF(A$2:A39,A39)&gt;1,1,0)</f>
        <v/>
      </c>
      <c r="J39" s="9">
        <f>IF(H39+I39=0,1,0)</f>
        <v/>
      </c>
      <c r="K39" s="9">
        <f>IF(AND(C39&gt;=Dashboard!$C$5,C39&lt;=Dashboard!$C$6),1,0)</f>
        <v/>
      </c>
      <c r="L39" s="10">
        <f>E39*J39*K39</f>
        <v/>
      </c>
      <c r="M39" s="10">
        <f>IF(G39="paid",L39,0)</f>
        <v/>
      </c>
      <c r="N39" s="10">
        <f>IF(G39="paid",0,L39)</f>
        <v/>
      </c>
      <c r="O39" s="9">
        <f>IF(H39=1,"Исключено: нет объекта",IF(I39=1,"Исключено: дубль","OK"))</f>
        <v/>
      </c>
    </row>
    <row r="40">
      <c r="A40" s="9">
        <f>raw_expenses!A40</f>
        <v/>
      </c>
      <c r="B40" s="9">
        <f>raw_expenses!B40</f>
        <v/>
      </c>
      <c r="C40" s="24">
        <f>raw_expenses!C40</f>
        <v/>
      </c>
      <c r="D40" s="9">
        <f>raw_expenses!D40</f>
        <v/>
      </c>
      <c r="E40" s="10">
        <f>raw_expenses!E40</f>
        <v/>
      </c>
      <c r="F40" s="9">
        <f>raw_expenses!F40</f>
        <v/>
      </c>
      <c r="G40" s="9">
        <f>raw_expenses!G40</f>
        <v/>
      </c>
      <c r="H40" s="9">
        <f>IF(COUNTIF(properties!$A$2:$A$21,B40)=0,1,0)</f>
        <v/>
      </c>
      <c r="I40" s="9">
        <f>IF(COUNTIF(A$2:A40,A40)&gt;1,1,0)</f>
        <v/>
      </c>
      <c r="J40" s="9">
        <f>IF(H40+I40=0,1,0)</f>
        <v/>
      </c>
      <c r="K40" s="9">
        <f>IF(AND(C40&gt;=Dashboard!$C$5,C40&lt;=Dashboard!$C$6),1,0)</f>
        <v/>
      </c>
      <c r="L40" s="10">
        <f>E40*J40*K40</f>
        <v/>
      </c>
      <c r="M40" s="10">
        <f>IF(G40="paid",L40,0)</f>
        <v/>
      </c>
      <c r="N40" s="10">
        <f>IF(G40="paid",0,L40)</f>
        <v/>
      </c>
      <c r="O40" s="9">
        <f>IF(H40=1,"Исключено: нет объекта",IF(I40=1,"Исключено: дубль","OK"))</f>
        <v/>
      </c>
    </row>
    <row r="41">
      <c r="A41" s="9">
        <f>raw_expenses!A41</f>
        <v/>
      </c>
      <c r="B41" s="9">
        <f>raw_expenses!B41</f>
        <v/>
      </c>
      <c r="C41" s="24">
        <f>raw_expenses!C41</f>
        <v/>
      </c>
      <c r="D41" s="9">
        <f>raw_expenses!D41</f>
        <v/>
      </c>
      <c r="E41" s="10">
        <f>raw_expenses!E41</f>
        <v/>
      </c>
      <c r="F41" s="9">
        <f>raw_expenses!F41</f>
        <v/>
      </c>
      <c r="G41" s="9">
        <f>raw_expenses!G41</f>
        <v/>
      </c>
      <c r="H41" s="9">
        <f>IF(COUNTIF(properties!$A$2:$A$21,B41)=0,1,0)</f>
        <v/>
      </c>
      <c r="I41" s="9">
        <f>IF(COUNTIF(A$2:A41,A41)&gt;1,1,0)</f>
        <v/>
      </c>
      <c r="J41" s="9">
        <f>IF(H41+I41=0,1,0)</f>
        <v/>
      </c>
      <c r="K41" s="9">
        <f>IF(AND(C41&gt;=Dashboard!$C$5,C41&lt;=Dashboard!$C$6),1,0)</f>
        <v/>
      </c>
      <c r="L41" s="10">
        <f>E41*J41*K41</f>
        <v/>
      </c>
      <c r="M41" s="10">
        <f>IF(G41="paid",L41,0)</f>
        <v/>
      </c>
      <c r="N41" s="10">
        <f>IF(G41="paid",0,L41)</f>
        <v/>
      </c>
      <c r="O41" s="9">
        <f>IF(H41=1,"Исключено: нет объекта",IF(I41=1,"Исключено: дубль","OK"))</f>
        <v/>
      </c>
    </row>
    <row r="42">
      <c r="A42" s="9">
        <f>raw_expenses!A42</f>
        <v/>
      </c>
      <c r="B42" s="9">
        <f>raw_expenses!B42</f>
        <v/>
      </c>
      <c r="C42" s="24">
        <f>raw_expenses!C42</f>
        <v/>
      </c>
      <c r="D42" s="9">
        <f>raw_expenses!D42</f>
        <v/>
      </c>
      <c r="E42" s="10">
        <f>raw_expenses!E42</f>
        <v/>
      </c>
      <c r="F42" s="9">
        <f>raw_expenses!F42</f>
        <v/>
      </c>
      <c r="G42" s="9">
        <f>raw_expenses!G42</f>
        <v/>
      </c>
      <c r="H42" s="9">
        <f>IF(COUNTIF(properties!$A$2:$A$21,B42)=0,1,0)</f>
        <v/>
      </c>
      <c r="I42" s="9">
        <f>IF(COUNTIF(A$2:A42,A42)&gt;1,1,0)</f>
        <v/>
      </c>
      <c r="J42" s="9">
        <f>IF(H42+I42=0,1,0)</f>
        <v/>
      </c>
      <c r="K42" s="9">
        <f>IF(AND(C42&gt;=Dashboard!$C$5,C42&lt;=Dashboard!$C$6),1,0)</f>
        <v/>
      </c>
      <c r="L42" s="10">
        <f>E42*J42*K42</f>
        <v/>
      </c>
      <c r="M42" s="10">
        <f>IF(G42="paid",L42,0)</f>
        <v/>
      </c>
      <c r="N42" s="10">
        <f>IF(G42="paid",0,L42)</f>
        <v/>
      </c>
      <c r="O42" s="9">
        <f>IF(H42=1,"Исключено: нет объекта",IF(I42=1,"Исключено: дубль","OK"))</f>
        <v/>
      </c>
    </row>
    <row r="43">
      <c r="A43" s="9">
        <f>raw_expenses!A43</f>
        <v/>
      </c>
      <c r="B43" s="9">
        <f>raw_expenses!B43</f>
        <v/>
      </c>
      <c r="C43" s="24">
        <f>raw_expenses!C43</f>
        <v/>
      </c>
      <c r="D43" s="9">
        <f>raw_expenses!D43</f>
        <v/>
      </c>
      <c r="E43" s="10">
        <f>raw_expenses!E43</f>
        <v/>
      </c>
      <c r="F43" s="9">
        <f>raw_expenses!F43</f>
        <v/>
      </c>
      <c r="G43" s="9">
        <f>raw_expenses!G43</f>
        <v/>
      </c>
      <c r="H43" s="9">
        <f>IF(COUNTIF(properties!$A$2:$A$21,B43)=0,1,0)</f>
        <v/>
      </c>
      <c r="I43" s="9">
        <f>IF(COUNTIF(A$2:A43,A43)&gt;1,1,0)</f>
        <v/>
      </c>
      <c r="J43" s="9">
        <f>IF(H43+I43=0,1,0)</f>
        <v/>
      </c>
      <c r="K43" s="9">
        <f>IF(AND(C43&gt;=Dashboard!$C$5,C43&lt;=Dashboard!$C$6),1,0)</f>
        <v/>
      </c>
      <c r="L43" s="10">
        <f>E43*J43*K43</f>
        <v/>
      </c>
      <c r="M43" s="10">
        <f>IF(G43="paid",L43,0)</f>
        <v/>
      </c>
      <c r="N43" s="10">
        <f>IF(G43="paid",0,L43)</f>
        <v/>
      </c>
      <c r="O43" s="9">
        <f>IF(H43=1,"Исключено: нет объекта",IF(I43=1,"Исключено: дубль","OK"))</f>
        <v/>
      </c>
    </row>
    <row r="44">
      <c r="A44" s="9">
        <f>raw_expenses!A44</f>
        <v/>
      </c>
      <c r="B44" s="9">
        <f>raw_expenses!B44</f>
        <v/>
      </c>
      <c r="C44" s="24">
        <f>raw_expenses!C44</f>
        <v/>
      </c>
      <c r="D44" s="9">
        <f>raw_expenses!D44</f>
        <v/>
      </c>
      <c r="E44" s="10">
        <f>raw_expenses!E44</f>
        <v/>
      </c>
      <c r="F44" s="9">
        <f>raw_expenses!F44</f>
        <v/>
      </c>
      <c r="G44" s="9">
        <f>raw_expenses!G44</f>
        <v/>
      </c>
      <c r="H44" s="9">
        <f>IF(COUNTIF(properties!$A$2:$A$21,B44)=0,1,0)</f>
        <v/>
      </c>
      <c r="I44" s="9">
        <f>IF(COUNTIF(A$2:A44,A44)&gt;1,1,0)</f>
        <v/>
      </c>
      <c r="J44" s="9">
        <f>IF(H44+I44=0,1,0)</f>
        <v/>
      </c>
      <c r="K44" s="9">
        <f>IF(AND(C44&gt;=Dashboard!$C$5,C44&lt;=Dashboard!$C$6),1,0)</f>
        <v/>
      </c>
      <c r="L44" s="10">
        <f>E44*J44*K44</f>
        <v/>
      </c>
      <c r="M44" s="10">
        <f>IF(G44="paid",L44,0)</f>
        <v/>
      </c>
      <c r="N44" s="10">
        <f>IF(G44="paid",0,L44)</f>
        <v/>
      </c>
      <c r="O44" s="9">
        <f>IF(H44=1,"Исключено: нет объекта",IF(I44=1,"Исключено: дубль","OK"))</f>
        <v/>
      </c>
    </row>
    <row r="45">
      <c r="A45" s="9">
        <f>raw_expenses!A45</f>
        <v/>
      </c>
      <c r="B45" s="9">
        <f>raw_expenses!B45</f>
        <v/>
      </c>
      <c r="C45" s="24">
        <f>raw_expenses!C45</f>
        <v/>
      </c>
      <c r="D45" s="9">
        <f>raw_expenses!D45</f>
        <v/>
      </c>
      <c r="E45" s="10">
        <f>raw_expenses!E45</f>
        <v/>
      </c>
      <c r="F45" s="9">
        <f>raw_expenses!F45</f>
        <v/>
      </c>
      <c r="G45" s="9">
        <f>raw_expenses!G45</f>
        <v/>
      </c>
      <c r="H45" s="9">
        <f>IF(COUNTIF(properties!$A$2:$A$21,B45)=0,1,0)</f>
        <v/>
      </c>
      <c r="I45" s="9">
        <f>IF(COUNTIF(A$2:A45,A45)&gt;1,1,0)</f>
        <v/>
      </c>
      <c r="J45" s="9">
        <f>IF(H45+I45=0,1,0)</f>
        <v/>
      </c>
      <c r="K45" s="9">
        <f>IF(AND(C45&gt;=Dashboard!$C$5,C45&lt;=Dashboard!$C$6),1,0)</f>
        <v/>
      </c>
      <c r="L45" s="10">
        <f>E45*J45*K45</f>
        <v/>
      </c>
      <c r="M45" s="10">
        <f>IF(G45="paid",L45,0)</f>
        <v/>
      </c>
      <c r="N45" s="10">
        <f>IF(G45="paid",0,L45)</f>
        <v/>
      </c>
      <c r="O45" s="9">
        <f>IF(H45=1,"Исключено: нет объекта",IF(I45=1,"Исключено: дубль","OK"))</f>
        <v/>
      </c>
    </row>
    <row r="46">
      <c r="A46" s="9">
        <f>raw_expenses!A46</f>
        <v/>
      </c>
      <c r="B46" s="9">
        <f>raw_expenses!B46</f>
        <v/>
      </c>
      <c r="C46" s="24">
        <f>raw_expenses!C46</f>
        <v/>
      </c>
      <c r="D46" s="9">
        <f>raw_expenses!D46</f>
        <v/>
      </c>
      <c r="E46" s="10">
        <f>raw_expenses!E46</f>
        <v/>
      </c>
      <c r="F46" s="9">
        <f>raw_expenses!F46</f>
        <v/>
      </c>
      <c r="G46" s="9">
        <f>raw_expenses!G46</f>
        <v/>
      </c>
      <c r="H46" s="9">
        <f>IF(COUNTIF(properties!$A$2:$A$21,B46)=0,1,0)</f>
        <v/>
      </c>
      <c r="I46" s="9">
        <f>IF(COUNTIF(A$2:A46,A46)&gt;1,1,0)</f>
        <v/>
      </c>
      <c r="J46" s="9">
        <f>IF(H46+I46=0,1,0)</f>
        <v/>
      </c>
      <c r="K46" s="9">
        <f>IF(AND(C46&gt;=Dashboard!$C$5,C46&lt;=Dashboard!$C$6),1,0)</f>
        <v/>
      </c>
      <c r="L46" s="10">
        <f>E46*J46*K46</f>
        <v/>
      </c>
      <c r="M46" s="10">
        <f>IF(G46="paid",L46,0)</f>
        <v/>
      </c>
      <c r="N46" s="10">
        <f>IF(G46="paid",0,L46)</f>
        <v/>
      </c>
      <c r="O46" s="9">
        <f>IF(H46=1,"Исключено: нет объекта",IF(I46=1,"Исключено: дубль","OK"))</f>
        <v/>
      </c>
    </row>
    <row r="47">
      <c r="A47" s="9">
        <f>raw_expenses!A47</f>
        <v/>
      </c>
      <c r="B47" s="9">
        <f>raw_expenses!B47</f>
        <v/>
      </c>
      <c r="C47" s="24">
        <f>raw_expenses!C47</f>
        <v/>
      </c>
      <c r="D47" s="9">
        <f>raw_expenses!D47</f>
        <v/>
      </c>
      <c r="E47" s="10">
        <f>raw_expenses!E47</f>
        <v/>
      </c>
      <c r="F47" s="9">
        <f>raw_expenses!F47</f>
        <v/>
      </c>
      <c r="G47" s="9">
        <f>raw_expenses!G47</f>
        <v/>
      </c>
      <c r="H47" s="9">
        <f>IF(COUNTIF(properties!$A$2:$A$21,B47)=0,1,0)</f>
        <v/>
      </c>
      <c r="I47" s="9">
        <f>IF(COUNTIF(A$2:A47,A47)&gt;1,1,0)</f>
        <v/>
      </c>
      <c r="J47" s="9">
        <f>IF(H47+I47=0,1,0)</f>
        <v/>
      </c>
      <c r="K47" s="9">
        <f>IF(AND(C47&gt;=Dashboard!$C$5,C47&lt;=Dashboard!$C$6),1,0)</f>
        <v/>
      </c>
      <c r="L47" s="10">
        <f>E47*J47*K47</f>
        <v/>
      </c>
      <c r="M47" s="10">
        <f>IF(G47="paid",L47,0)</f>
        <v/>
      </c>
      <c r="N47" s="10">
        <f>IF(G47="paid",0,L47)</f>
        <v/>
      </c>
      <c r="O47" s="9">
        <f>IF(H47=1,"Исключено: нет объекта",IF(I47=1,"Исключено: дубль","OK"))</f>
        <v/>
      </c>
    </row>
    <row r="48">
      <c r="A48" s="9">
        <f>raw_expenses!A48</f>
        <v/>
      </c>
      <c r="B48" s="9">
        <f>raw_expenses!B48</f>
        <v/>
      </c>
      <c r="C48" s="24">
        <f>raw_expenses!C48</f>
        <v/>
      </c>
      <c r="D48" s="9">
        <f>raw_expenses!D48</f>
        <v/>
      </c>
      <c r="E48" s="10">
        <f>raw_expenses!E48</f>
        <v/>
      </c>
      <c r="F48" s="9">
        <f>raw_expenses!F48</f>
        <v/>
      </c>
      <c r="G48" s="9">
        <f>raw_expenses!G48</f>
        <v/>
      </c>
      <c r="H48" s="9">
        <f>IF(COUNTIF(properties!$A$2:$A$21,B48)=0,1,0)</f>
        <v/>
      </c>
      <c r="I48" s="9">
        <f>IF(COUNTIF(A$2:A48,A48)&gt;1,1,0)</f>
        <v/>
      </c>
      <c r="J48" s="9">
        <f>IF(H48+I48=0,1,0)</f>
        <v/>
      </c>
      <c r="K48" s="9">
        <f>IF(AND(C48&gt;=Dashboard!$C$5,C48&lt;=Dashboard!$C$6),1,0)</f>
        <v/>
      </c>
      <c r="L48" s="10">
        <f>E48*J48*K48</f>
        <v/>
      </c>
      <c r="M48" s="10">
        <f>IF(G48="paid",L48,0)</f>
        <v/>
      </c>
      <c r="N48" s="10">
        <f>IF(G48="paid",0,L48)</f>
        <v/>
      </c>
      <c r="O48" s="9">
        <f>IF(H48=1,"Исключено: нет объекта",IF(I48=1,"Исключено: дубль","OK"))</f>
        <v/>
      </c>
    </row>
    <row r="49">
      <c r="A49" s="9">
        <f>raw_expenses!A49</f>
        <v/>
      </c>
      <c r="B49" s="9">
        <f>raw_expenses!B49</f>
        <v/>
      </c>
      <c r="C49" s="24">
        <f>raw_expenses!C49</f>
        <v/>
      </c>
      <c r="D49" s="9">
        <f>raw_expenses!D49</f>
        <v/>
      </c>
      <c r="E49" s="10">
        <f>raw_expenses!E49</f>
        <v/>
      </c>
      <c r="F49" s="9">
        <f>raw_expenses!F49</f>
        <v/>
      </c>
      <c r="G49" s="9">
        <f>raw_expenses!G49</f>
        <v/>
      </c>
      <c r="H49" s="9">
        <f>IF(COUNTIF(properties!$A$2:$A$21,B49)=0,1,0)</f>
        <v/>
      </c>
      <c r="I49" s="9">
        <f>IF(COUNTIF(A$2:A49,A49)&gt;1,1,0)</f>
        <v/>
      </c>
      <c r="J49" s="9">
        <f>IF(H49+I49=0,1,0)</f>
        <v/>
      </c>
      <c r="K49" s="9">
        <f>IF(AND(C49&gt;=Dashboard!$C$5,C49&lt;=Dashboard!$C$6),1,0)</f>
        <v/>
      </c>
      <c r="L49" s="10">
        <f>E49*J49*K49</f>
        <v/>
      </c>
      <c r="M49" s="10">
        <f>IF(G49="paid",L49,0)</f>
        <v/>
      </c>
      <c r="N49" s="10">
        <f>IF(G49="paid",0,L49)</f>
        <v/>
      </c>
      <c r="O49" s="9">
        <f>IF(H49=1,"Исключено: нет объекта",IF(I49=1,"Исключено: дубль","OK"))</f>
        <v/>
      </c>
    </row>
    <row r="50">
      <c r="A50" s="9">
        <f>raw_expenses!A50</f>
        <v/>
      </c>
      <c r="B50" s="9">
        <f>raw_expenses!B50</f>
        <v/>
      </c>
      <c r="C50" s="24">
        <f>raw_expenses!C50</f>
        <v/>
      </c>
      <c r="D50" s="9">
        <f>raw_expenses!D50</f>
        <v/>
      </c>
      <c r="E50" s="10">
        <f>raw_expenses!E50</f>
        <v/>
      </c>
      <c r="F50" s="9">
        <f>raw_expenses!F50</f>
        <v/>
      </c>
      <c r="G50" s="9">
        <f>raw_expenses!G50</f>
        <v/>
      </c>
      <c r="H50" s="9">
        <f>IF(COUNTIF(properties!$A$2:$A$21,B50)=0,1,0)</f>
        <v/>
      </c>
      <c r="I50" s="9">
        <f>IF(COUNTIF(A$2:A50,A50)&gt;1,1,0)</f>
        <v/>
      </c>
      <c r="J50" s="9">
        <f>IF(H50+I50=0,1,0)</f>
        <v/>
      </c>
      <c r="K50" s="9">
        <f>IF(AND(C50&gt;=Dashboard!$C$5,C50&lt;=Dashboard!$C$6),1,0)</f>
        <v/>
      </c>
      <c r="L50" s="10">
        <f>E50*J50*K50</f>
        <v/>
      </c>
      <c r="M50" s="10">
        <f>IF(G50="paid",L50,0)</f>
        <v/>
      </c>
      <c r="N50" s="10">
        <f>IF(G50="paid",0,L50)</f>
        <v/>
      </c>
      <c r="O50" s="9">
        <f>IF(H50=1,"Исключено: нет объекта",IF(I50=1,"Исключено: дубль","OK"))</f>
        <v/>
      </c>
    </row>
    <row r="51">
      <c r="A51" s="9">
        <f>raw_expenses!A51</f>
        <v/>
      </c>
      <c r="B51" s="9">
        <f>raw_expenses!B51</f>
        <v/>
      </c>
      <c r="C51" s="24">
        <f>raw_expenses!C51</f>
        <v/>
      </c>
      <c r="D51" s="9">
        <f>raw_expenses!D51</f>
        <v/>
      </c>
      <c r="E51" s="10">
        <f>raw_expenses!E51</f>
        <v/>
      </c>
      <c r="F51" s="9">
        <f>raw_expenses!F51</f>
        <v/>
      </c>
      <c r="G51" s="9">
        <f>raw_expenses!G51</f>
        <v/>
      </c>
      <c r="H51" s="9">
        <f>IF(COUNTIF(properties!$A$2:$A$21,B51)=0,1,0)</f>
        <v/>
      </c>
      <c r="I51" s="9">
        <f>IF(COUNTIF(A$2:A51,A51)&gt;1,1,0)</f>
        <v/>
      </c>
      <c r="J51" s="9">
        <f>IF(H51+I51=0,1,0)</f>
        <v/>
      </c>
      <c r="K51" s="9">
        <f>IF(AND(C51&gt;=Dashboard!$C$5,C51&lt;=Dashboard!$C$6),1,0)</f>
        <v/>
      </c>
      <c r="L51" s="10">
        <f>E51*J51*K51</f>
        <v/>
      </c>
      <c r="M51" s="10">
        <f>IF(G51="paid",L51,0)</f>
        <v/>
      </c>
      <c r="N51" s="10">
        <f>IF(G51="paid",0,L51)</f>
        <v/>
      </c>
      <c r="O51" s="9">
        <f>IF(H51=1,"Исключено: нет объекта",IF(I51=1,"Исключено: дубль","OK"))</f>
        <v/>
      </c>
    </row>
    <row r="52">
      <c r="A52" s="9">
        <f>raw_expenses!A52</f>
        <v/>
      </c>
      <c r="B52" s="9">
        <f>raw_expenses!B52</f>
        <v/>
      </c>
      <c r="C52" s="24">
        <f>raw_expenses!C52</f>
        <v/>
      </c>
      <c r="D52" s="9">
        <f>raw_expenses!D52</f>
        <v/>
      </c>
      <c r="E52" s="10">
        <f>raw_expenses!E52</f>
        <v/>
      </c>
      <c r="F52" s="9">
        <f>raw_expenses!F52</f>
        <v/>
      </c>
      <c r="G52" s="9">
        <f>raw_expenses!G52</f>
        <v/>
      </c>
      <c r="H52" s="9">
        <f>IF(COUNTIF(properties!$A$2:$A$21,B52)=0,1,0)</f>
        <v/>
      </c>
      <c r="I52" s="9">
        <f>IF(COUNTIF(A$2:A52,A52)&gt;1,1,0)</f>
        <v/>
      </c>
      <c r="J52" s="9">
        <f>IF(H52+I52=0,1,0)</f>
        <v/>
      </c>
      <c r="K52" s="9">
        <f>IF(AND(C52&gt;=Dashboard!$C$5,C52&lt;=Dashboard!$C$6),1,0)</f>
        <v/>
      </c>
      <c r="L52" s="10">
        <f>E52*J52*K52</f>
        <v/>
      </c>
      <c r="M52" s="10">
        <f>IF(G52="paid",L52,0)</f>
        <v/>
      </c>
      <c r="N52" s="10">
        <f>IF(G52="paid",0,L52)</f>
        <v/>
      </c>
      <c r="O52" s="9">
        <f>IF(H52=1,"Исключено: нет объекта",IF(I52=1,"Исключено: дубль","OK"))</f>
        <v/>
      </c>
    </row>
    <row r="53">
      <c r="A53" s="9">
        <f>raw_expenses!A53</f>
        <v/>
      </c>
      <c r="B53" s="9">
        <f>raw_expenses!B53</f>
        <v/>
      </c>
      <c r="C53" s="24">
        <f>raw_expenses!C53</f>
        <v/>
      </c>
      <c r="D53" s="9">
        <f>raw_expenses!D53</f>
        <v/>
      </c>
      <c r="E53" s="10">
        <f>raw_expenses!E53</f>
        <v/>
      </c>
      <c r="F53" s="9">
        <f>raw_expenses!F53</f>
        <v/>
      </c>
      <c r="G53" s="9">
        <f>raw_expenses!G53</f>
        <v/>
      </c>
      <c r="H53" s="9">
        <f>IF(COUNTIF(properties!$A$2:$A$21,B53)=0,1,0)</f>
        <v/>
      </c>
      <c r="I53" s="9">
        <f>IF(COUNTIF(A$2:A53,A53)&gt;1,1,0)</f>
        <v/>
      </c>
      <c r="J53" s="9">
        <f>IF(H53+I53=0,1,0)</f>
        <v/>
      </c>
      <c r="K53" s="9">
        <f>IF(AND(C53&gt;=Dashboard!$C$5,C53&lt;=Dashboard!$C$6),1,0)</f>
        <v/>
      </c>
      <c r="L53" s="10">
        <f>E53*J53*K53</f>
        <v/>
      </c>
      <c r="M53" s="10">
        <f>IF(G53="paid",L53,0)</f>
        <v/>
      </c>
      <c r="N53" s="10">
        <f>IF(G53="paid",0,L53)</f>
        <v/>
      </c>
      <c r="O53" s="9">
        <f>IF(H53=1,"Исключено: нет объекта",IF(I53=1,"Исключено: дубль","OK"))</f>
        <v/>
      </c>
    </row>
    <row r="54">
      <c r="A54" s="9">
        <f>raw_expenses!A54</f>
        <v/>
      </c>
      <c r="B54" s="9">
        <f>raw_expenses!B54</f>
        <v/>
      </c>
      <c r="C54" s="24">
        <f>raw_expenses!C54</f>
        <v/>
      </c>
      <c r="D54" s="9">
        <f>raw_expenses!D54</f>
        <v/>
      </c>
      <c r="E54" s="10">
        <f>raw_expenses!E54</f>
        <v/>
      </c>
      <c r="F54" s="9">
        <f>raw_expenses!F54</f>
        <v/>
      </c>
      <c r="G54" s="9">
        <f>raw_expenses!G54</f>
        <v/>
      </c>
      <c r="H54" s="9">
        <f>IF(COUNTIF(properties!$A$2:$A$21,B54)=0,1,0)</f>
        <v/>
      </c>
      <c r="I54" s="9">
        <f>IF(COUNTIF(A$2:A54,A54)&gt;1,1,0)</f>
        <v/>
      </c>
      <c r="J54" s="9">
        <f>IF(H54+I54=0,1,0)</f>
        <v/>
      </c>
      <c r="K54" s="9">
        <f>IF(AND(C54&gt;=Dashboard!$C$5,C54&lt;=Dashboard!$C$6),1,0)</f>
        <v/>
      </c>
      <c r="L54" s="10">
        <f>E54*J54*K54</f>
        <v/>
      </c>
      <c r="M54" s="10">
        <f>IF(G54="paid",L54,0)</f>
        <v/>
      </c>
      <c r="N54" s="10">
        <f>IF(G54="paid",0,L54)</f>
        <v/>
      </c>
      <c r="O54" s="9">
        <f>IF(H54=1,"Исключено: нет объекта",IF(I54=1,"Исключено: дубль","OK"))</f>
        <v/>
      </c>
    </row>
    <row r="55">
      <c r="A55" s="9">
        <f>raw_expenses!A55</f>
        <v/>
      </c>
      <c r="B55" s="9">
        <f>raw_expenses!B55</f>
        <v/>
      </c>
      <c r="C55" s="24">
        <f>raw_expenses!C55</f>
        <v/>
      </c>
      <c r="D55" s="9">
        <f>raw_expenses!D55</f>
        <v/>
      </c>
      <c r="E55" s="10">
        <f>raw_expenses!E55</f>
        <v/>
      </c>
      <c r="F55" s="9">
        <f>raw_expenses!F55</f>
        <v/>
      </c>
      <c r="G55" s="9">
        <f>raw_expenses!G55</f>
        <v/>
      </c>
      <c r="H55" s="9">
        <f>IF(COUNTIF(properties!$A$2:$A$21,B55)=0,1,0)</f>
        <v/>
      </c>
      <c r="I55" s="9">
        <f>IF(COUNTIF(A$2:A55,A55)&gt;1,1,0)</f>
        <v/>
      </c>
      <c r="J55" s="9">
        <f>IF(H55+I55=0,1,0)</f>
        <v/>
      </c>
      <c r="K55" s="9">
        <f>IF(AND(C55&gt;=Dashboard!$C$5,C55&lt;=Dashboard!$C$6),1,0)</f>
        <v/>
      </c>
      <c r="L55" s="10">
        <f>E55*J55*K55</f>
        <v/>
      </c>
      <c r="M55" s="10">
        <f>IF(G55="paid",L55,0)</f>
        <v/>
      </c>
      <c r="N55" s="10">
        <f>IF(G55="paid",0,L55)</f>
        <v/>
      </c>
      <c r="O55" s="9">
        <f>IF(H55=1,"Исключено: нет объекта",IF(I55=1,"Исключено: дубль","OK"))</f>
        <v/>
      </c>
    </row>
    <row r="56">
      <c r="A56" s="9">
        <f>raw_expenses!A56</f>
        <v/>
      </c>
      <c r="B56" s="9">
        <f>raw_expenses!B56</f>
        <v/>
      </c>
      <c r="C56" s="24">
        <f>raw_expenses!C56</f>
        <v/>
      </c>
      <c r="D56" s="9">
        <f>raw_expenses!D56</f>
        <v/>
      </c>
      <c r="E56" s="10">
        <f>raw_expenses!E56</f>
        <v/>
      </c>
      <c r="F56" s="9">
        <f>raw_expenses!F56</f>
        <v/>
      </c>
      <c r="G56" s="9">
        <f>raw_expenses!G56</f>
        <v/>
      </c>
      <c r="H56" s="9">
        <f>IF(COUNTIF(properties!$A$2:$A$21,B56)=0,1,0)</f>
        <v/>
      </c>
      <c r="I56" s="9">
        <f>IF(COUNTIF(A$2:A56,A56)&gt;1,1,0)</f>
        <v/>
      </c>
      <c r="J56" s="9">
        <f>IF(H56+I56=0,1,0)</f>
        <v/>
      </c>
      <c r="K56" s="9">
        <f>IF(AND(C56&gt;=Dashboard!$C$5,C56&lt;=Dashboard!$C$6),1,0)</f>
        <v/>
      </c>
      <c r="L56" s="10">
        <f>E56*J56*K56</f>
        <v/>
      </c>
      <c r="M56" s="10">
        <f>IF(G56="paid",L56,0)</f>
        <v/>
      </c>
      <c r="N56" s="10">
        <f>IF(G56="paid",0,L56)</f>
        <v/>
      </c>
      <c r="O56" s="9">
        <f>IF(H56=1,"Исключено: нет объекта",IF(I56=1,"Исключено: дубль","OK"))</f>
        <v/>
      </c>
    </row>
    <row r="57">
      <c r="A57" s="9">
        <f>raw_expenses!A57</f>
        <v/>
      </c>
      <c r="B57" s="9">
        <f>raw_expenses!B57</f>
        <v/>
      </c>
      <c r="C57" s="24">
        <f>raw_expenses!C57</f>
        <v/>
      </c>
      <c r="D57" s="9">
        <f>raw_expenses!D57</f>
        <v/>
      </c>
      <c r="E57" s="10">
        <f>raw_expenses!E57</f>
        <v/>
      </c>
      <c r="F57" s="9">
        <f>raw_expenses!F57</f>
        <v/>
      </c>
      <c r="G57" s="9">
        <f>raw_expenses!G57</f>
        <v/>
      </c>
      <c r="H57" s="9">
        <f>IF(COUNTIF(properties!$A$2:$A$21,B57)=0,1,0)</f>
        <v/>
      </c>
      <c r="I57" s="9">
        <f>IF(COUNTIF(A$2:A57,A57)&gt;1,1,0)</f>
        <v/>
      </c>
      <c r="J57" s="9">
        <f>IF(H57+I57=0,1,0)</f>
        <v/>
      </c>
      <c r="K57" s="9">
        <f>IF(AND(C57&gt;=Dashboard!$C$5,C57&lt;=Dashboard!$C$6),1,0)</f>
        <v/>
      </c>
      <c r="L57" s="10">
        <f>E57*J57*K57</f>
        <v/>
      </c>
      <c r="M57" s="10">
        <f>IF(G57="paid",L57,0)</f>
        <v/>
      </c>
      <c r="N57" s="10">
        <f>IF(G57="paid",0,L57)</f>
        <v/>
      </c>
      <c r="O57" s="9">
        <f>IF(H57=1,"Исключено: нет объекта",IF(I57=1,"Исключено: дубль","OK"))</f>
        <v/>
      </c>
    </row>
    <row r="58">
      <c r="A58" s="9">
        <f>raw_expenses!A58</f>
        <v/>
      </c>
      <c r="B58" s="9">
        <f>raw_expenses!B58</f>
        <v/>
      </c>
      <c r="C58" s="24">
        <f>raw_expenses!C58</f>
        <v/>
      </c>
      <c r="D58" s="9">
        <f>raw_expenses!D58</f>
        <v/>
      </c>
      <c r="E58" s="10">
        <f>raw_expenses!E58</f>
        <v/>
      </c>
      <c r="F58" s="9">
        <f>raw_expenses!F58</f>
        <v/>
      </c>
      <c r="G58" s="9">
        <f>raw_expenses!G58</f>
        <v/>
      </c>
      <c r="H58" s="9">
        <f>IF(COUNTIF(properties!$A$2:$A$21,B58)=0,1,0)</f>
        <v/>
      </c>
      <c r="I58" s="9">
        <f>IF(COUNTIF(A$2:A58,A58)&gt;1,1,0)</f>
        <v/>
      </c>
      <c r="J58" s="9">
        <f>IF(H58+I58=0,1,0)</f>
        <v/>
      </c>
      <c r="K58" s="9">
        <f>IF(AND(C58&gt;=Dashboard!$C$5,C58&lt;=Dashboard!$C$6),1,0)</f>
        <v/>
      </c>
      <c r="L58" s="10">
        <f>E58*J58*K58</f>
        <v/>
      </c>
      <c r="M58" s="10">
        <f>IF(G58="paid",L58,0)</f>
        <v/>
      </c>
      <c r="N58" s="10">
        <f>IF(G58="paid",0,L58)</f>
        <v/>
      </c>
      <c r="O58" s="9">
        <f>IF(H58=1,"Исключено: нет объекта",IF(I58=1,"Исключено: дубль","OK"))</f>
        <v/>
      </c>
    </row>
    <row r="59">
      <c r="A59" s="9">
        <f>raw_expenses!A59</f>
        <v/>
      </c>
      <c r="B59" s="9">
        <f>raw_expenses!B59</f>
        <v/>
      </c>
      <c r="C59" s="24">
        <f>raw_expenses!C59</f>
        <v/>
      </c>
      <c r="D59" s="9">
        <f>raw_expenses!D59</f>
        <v/>
      </c>
      <c r="E59" s="10">
        <f>raw_expenses!E59</f>
        <v/>
      </c>
      <c r="F59" s="9">
        <f>raw_expenses!F59</f>
        <v/>
      </c>
      <c r="G59" s="9">
        <f>raw_expenses!G59</f>
        <v/>
      </c>
      <c r="H59" s="9">
        <f>IF(COUNTIF(properties!$A$2:$A$21,B59)=0,1,0)</f>
        <v/>
      </c>
      <c r="I59" s="9">
        <f>IF(COUNTIF(A$2:A59,A59)&gt;1,1,0)</f>
        <v/>
      </c>
      <c r="J59" s="9">
        <f>IF(H59+I59=0,1,0)</f>
        <v/>
      </c>
      <c r="K59" s="9">
        <f>IF(AND(C59&gt;=Dashboard!$C$5,C59&lt;=Dashboard!$C$6),1,0)</f>
        <v/>
      </c>
      <c r="L59" s="10">
        <f>E59*J59*K59</f>
        <v/>
      </c>
      <c r="M59" s="10">
        <f>IF(G59="paid",L59,0)</f>
        <v/>
      </c>
      <c r="N59" s="10">
        <f>IF(G59="paid",0,L59)</f>
        <v/>
      </c>
      <c r="O59" s="9">
        <f>IF(H59=1,"Исключено: нет объекта",IF(I59=1,"Исключено: дубль","OK"))</f>
        <v/>
      </c>
    </row>
    <row r="60">
      <c r="A60" s="9">
        <f>raw_expenses!A60</f>
        <v/>
      </c>
      <c r="B60" s="9">
        <f>raw_expenses!B60</f>
        <v/>
      </c>
      <c r="C60" s="24">
        <f>raw_expenses!C60</f>
        <v/>
      </c>
      <c r="D60" s="9">
        <f>raw_expenses!D60</f>
        <v/>
      </c>
      <c r="E60" s="10">
        <f>raw_expenses!E60</f>
        <v/>
      </c>
      <c r="F60" s="9">
        <f>raw_expenses!F60</f>
        <v/>
      </c>
      <c r="G60" s="9">
        <f>raw_expenses!G60</f>
        <v/>
      </c>
      <c r="H60" s="9">
        <f>IF(COUNTIF(properties!$A$2:$A$21,B60)=0,1,0)</f>
        <v/>
      </c>
      <c r="I60" s="9">
        <f>IF(COUNTIF(A$2:A60,A60)&gt;1,1,0)</f>
        <v/>
      </c>
      <c r="J60" s="9">
        <f>IF(H60+I60=0,1,0)</f>
        <v/>
      </c>
      <c r="K60" s="9">
        <f>IF(AND(C60&gt;=Dashboard!$C$5,C60&lt;=Dashboard!$C$6),1,0)</f>
        <v/>
      </c>
      <c r="L60" s="10">
        <f>E60*J60*K60</f>
        <v/>
      </c>
      <c r="M60" s="10">
        <f>IF(G60="paid",L60,0)</f>
        <v/>
      </c>
      <c r="N60" s="10">
        <f>IF(G60="paid",0,L60)</f>
        <v/>
      </c>
      <c r="O60" s="9">
        <f>IF(H60=1,"Исключено: нет объекта",IF(I60=1,"Исключено: дубль","OK"))</f>
        <v/>
      </c>
    </row>
    <row r="61">
      <c r="A61" s="9">
        <f>raw_expenses!A61</f>
        <v/>
      </c>
      <c r="B61" s="9">
        <f>raw_expenses!B61</f>
        <v/>
      </c>
      <c r="C61" s="24">
        <f>raw_expenses!C61</f>
        <v/>
      </c>
      <c r="D61" s="9">
        <f>raw_expenses!D61</f>
        <v/>
      </c>
      <c r="E61" s="10">
        <f>raw_expenses!E61</f>
        <v/>
      </c>
      <c r="F61" s="9">
        <f>raw_expenses!F61</f>
        <v/>
      </c>
      <c r="G61" s="9">
        <f>raw_expenses!G61</f>
        <v/>
      </c>
      <c r="H61" s="9">
        <f>IF(COUNTIF(properties!$A$2:$A$21,B61)=0,1,0)</f>
        <v/>
      </c>
      <c r="I61" s="9">
        <f>IF(COUNTIF(A$2:A61,A61)&gt;1,1,0)</f>
        <v/>
      </c>
      <c r="J61" s="9">
        <f>IF(H61+I61=0,1,0)</f>
        <v/>
      </c>
      <c r="K61" s="9">
        <f>IF(AND(C61&gt;=Dashboard!$C$5,C61&lt;=Dashboard!$C$6),1,0)</f>
        <v/>
      </c>
      <c r="L61" s="10">
        <f>E61*J61*K61</f>
        <v/>
      </c>
      <c r="M61" s="10">
        <f>IF(G61="paid",L61,0)</f>
        <v/>
      </c>
      <c r="N61" s="10">
        <f>IF(G61="paid",0,L61)</f>
        <v/>
      </c>
      <c r="O61" s="9">
        <f>IF(H61=1,"Исключено: нет объекта",IF(I61=1,"Исключено: дубль","OK"))</f>
        <v/>
      </c>
    </row>
    <row r="62">
      <c r="A62" s="9">
        <f>raw_expenses!A62</f>
        <v/>
      </c>
      <c r="B62" s="9">
        <f>raw_expenses!B62</f>
        <v/>
      </c>
      <c r="C62" s="24">
        <f>raw_expenses!C62</f>
        <v/>
      </c>
      <c r="D62" s="9">
        <f>raw_expenses!D62</f>
        <v/>
      </c>
      <c r="E62" s="10">
        <f>raw_expenses!E62</f>
        <v/>
      </c>
      <c r="F62" s="9">
        <f>raw_expenses!F62</f>
        <v/>
      </c>
      <c r="G62" s="9">
        <f>raw_expenses!G62</f>
        <v/>
      </c>
      <c r="H62" s="9">
        <f>IF(COUNTIF(properties!$A$2:$A$21,B62)=0,1,0)</f>
        <v/>
      </c>
      <c r="I62" s="9">
        <f>IF(COUNTIF(A$2:A62,A62)&gt;1,1,0)</f>
        <v/>
      </c>
      <c r="J62" s="9">
        <f>IF(H62+I62=0,1,0)</f>
        <v/>
      </c>
      <c r="K62" s="9">
        <f>IF(AND(C62&gt;=Dashboard!$C$5,C62&lt;=Dashboard!$C$6),1,0)</f>
        <v/>
      </c>
      <c r="L62" s="10">
        <f>E62*J62*K62</f>
        <v/>
      </c>
      <c r="M62" s="10">
        <f>IF(G62="paid",L62,0)</f>
        <v/>
      </c>
      <c r="N62" s="10">
        <f>IF(G62="paid",0,L62)</f>
        <v/>
      </c>
      <c r="O62" s="9">
        <f>IF(H62=1,"Исключено: нет объекта",IF(I62=1,"Исключено: дубль","OK"))</f>
        <v/>
      </c>
    </row>
    <row r="63">
      <c r="A63" s="9">
        <f>raw_expenses!A63</f>
        <v/>
      </c>
      <c r="B63" s="9">
        <f>raw_expenses!B63</f>
        <v/>
      </c>
      <c r="C63" s="24">
        <f>raw_expenses!C63</f>
        <v/>
      </c>
      <c r="D63" s="9">
        <f>raw_expenses!D63</f>
        <v/>
      </c>
      <c r="E63" s="10">
        <f>raw_expenses!E63</f>
        <v/>
      </c>
      <c r="F63" s="9">
        <f>raw_expenses!F63</f>
        <v/>
      </c>
      <c r="G63" s="9">
        <f>raw_expenses!G63</f>
        <v/>
      </c>
      <c r="H63" s="9">
        <f>IF(COUNTIF(properties!$A$2:$A$21,B63)=0,1,0)</f>
        <v/>
      </c>
      <c r="I63" s="9">
        <f>IF(COUNTIF(A$2:A63,A63)&gt;1,1,0)</f>
        <v/>
      </c>
      <c r="J63" s="9">
        <f>IF(H63+I63=0,1,0)</f>
        <v/>
      </c>
      <c r="K63" s="9">
        <f>IF(AND(C63&gt;=Dashboard!$C$5,C63&lt;=Dashboard!$C$6),1,0)</f>
        <v/>
      </c>
      <c r="L63" s="10">
        <f>E63*J63*K63</f>
        <v/>
      </c>
      <c r="M63" s="10">
        <f>IF(G63="paid",L63,0)</f>
        <v/>
      </c>
      <c r="N63" s="10">
        <f>IF(G63="paid",0,L63)</f>
        <v/>
      </c>
      <c r="O63" s="9">
        <f>IF(H63=1,"Исключено: нет объекта",IF(I63=1,"Исключено: дубль","OK"))</f>
        <v/>
      </c>
    </row>
    <row r="64">
      <c r="A64" s="9">
        <f>raw_expenses!A64</f>
        <v/>
      </c>
      <c r="B64" s="9">
        <f>raw_expenses!B64</f>
        <v/>
      </c>
      <c r="C64" s="24">
        <f>raw_expenses!C64</f>
        <v/>
      </c>
      <c r="D64" s="9">
        <f>raw_expenses!D64</f>
        <v/>
      </c>
      <c r="E64" s="10">
        <f>raw_expenses!E64</f>
        <v/>
      </c>
      <c r="F64" s="9">
        <f>raw_expenses!F64</f>
        <v/>
      </c>
      <c r="G64" s="9">
        <f>raw_expenses!G64</f>
        <v/>
      </c>
      <c r="H64" s="9">
        <f>IF(COUNTIF(properties!$A$2:$A$21,B64)=0,1,0)</f>
        <v/>
      </c>
      <c r="I64" s="9">
        <f>IF(COUNTIF(A$2:A64,A64)&gt;1,1,0)</f>
        <v/>
      </c>
      <c r="J64" s="9">
        <f>IF(H64+I64=0,1,0)</f>
        <v/>
      </c>
      <c r="K64" s="9">
        <f>IF(AND(C64&gt;=Dashboard!$C$5,C64&lt;=Dashboard!$C$6),1,0)</f>
        <v/>
      </c>
      <c r="L64" s="10">
        <f>E64*J64*K64</f>
        <v/>
      </c>
      <c r="M64" s="10">
        <f>IF(G64="paid",L64,0)</f>
        <v/>
      </c>
      <c r="N64" s="10">
        <f>IF(G64="paid",0,L64)</f>
        <v/>
      </c>
      <c r="O64" s="9">
        <f>IF(H64=1,"Исключено: нет объекта",IF(I64=1,"Исключено: дубль","OK"))</f>
        <v/>
      </c>
    </row>
    <row r="65">
      <c r="A65" s="9">
        <f>raw_expenses!A65</f>
        <v/>
      </c>
      <c r="B65" s="9">
        <f>raw_expenses!B65</f>
        <v/>
      </c>
      <c r="C65" s="24">
        <f>raw_expenses!C65</f>
        <v/>
      </c>
      <c r="D65" s="9">
        <f>raw_expenses!D65</f>
        <v/>
      </c>
      <c r="E65" s="10">
        <f>raw_expenses!E65</f>
        <v/>
      </c>
      <c r="F65" s="9">
        <f>raw_expenses!F65</f>
        <v/>
      </c>
      <c r="G65" s="9">
        <f>raw_expenses!G65</f>
        <v/>
      </c>
      <c r="H65" s="9">
        <f>IF(COUNTIF(properties!$A$2:$A$21,B65)=0,1,0)</f>
        <v/>
      </c>
      <c r="I65" s="9">
        <f>IF(COUNTIF(A$2:A65,A65)&gt;1,1,0)</f>
        <v/>
      </c>
      <c r="J65" s="9">
        <f>IF(H65+I65=0,1,0)</f>
        <v/>
      </c>
      <c r="K65" s="9">
        <f>IF(AND(C65&gt;=Dashboard!$C$5,C65&lt;=Dashboard!$C$6),1,0)</f>
        <v/>
      </c>
      <c r="L65" s="10">
        <f>E65*J65*K65</f>
        <v/>
      </c>
      <c r="M65" s="10">
        <f>IF(G65="paid",L65,0)</f>
        <v/>
      </c>
      <c r="N65" s="10">
        <f>IF(G65="paid",0,L65)</f>
        <v/>
      </c>
      <c r="O65" s="9">
        <f>IF(H65=1,"Исключено: нет объекта",IF(I65=1,"Исключено: дубль","OK"))</f>
        <v/>
      </c>
    </row>
    <row r="66">
      <c r="A66" s="9">
        <f>raw_expenses!A66</f>
        <v/>
      </c>
      <c r="B66" s="9">
        <f>raw_expenses!B66</f>
        <v/>
      </c>
      <c r="C66" s="24">
        <f>raw_expenses!C66</f>
        <v/>
      </c>
      <c r="D66" s="9">
        <f>raw_expenses!D66</f>
        <v/>
      </c>
      <c r="E66" s="10">
        <f>raw_expenses!E66</f>
        <v/>
      </c>
      <c r="F66" s="9">
        <f>raw_expenses!F66</f>
        <v/>
      </c>
      <c r="G66" s="9">
        <f>raw_expenses!G66</f>
        <v/>
      </c>
      <c r="H66" s="9">
        <f>IF(COUNTIF(properties!$A$2:$A$21,B66)=0,1,0)</f>
        <v/>
      </c>
      <c r="I66" s="9">
        <f>IF(COUNTIF(A$2:A66,A66)&gt;1,1,0)</f>
        <v/>
      </c>
      <c r="J66" s="9">
        <f>IF(H66+I66=0,1,0)</f>
        <v/>
      </c>
      <c r="K66" s="9">
        <f>IF(AND(C66&gt;=Dashboard!$C$5,C66&lt;=Dashboard!$C$6),1,0)</f>
        <v/>
      </c>
      <c r="L66" s="10">
        <f>E66*J66*K66</f>
        <v/>
      </c>
      <c r="M66" s="10">
        <f>IF(G66="paid",L66,0)</f>
        <v/>
      </c>
      <c r="N66" s="10">
        <f>IF(G66="paid",0,L66)</f>
        <v/>
      </c>
      <c r="O66" s="9">
        <f>IF(H66=1,"Исключено: нет объекта",IF(I66=1,"Исключено: дубль","OK"))</f>
        <v/>
      </c>
    </row>
    <row r="67">
      <c r="A67" s="9">
        <f>raw_expenses!A67</f>
        <v/>
      </c>
      <c r="B67" s="9">
        <f>raw_expenses!B67</f>
        <v/>
      </c>
      <c r="C67" s="24">
        <f>raw_expenses!C67</f>
        <v/>
      </c>
      <c r="D67" s="9">
        <f>raw_expenses!D67</f>
        <v/>
      </c>
      <c r="E67" s="10">
        <f>raw_expenses!E67</f>
        <v/>
      </c>
      <c r="F67" s="9">
        <f>raw_expenses!F67</f>
        <v/>
      </c>
      <c r="G67" s="9">
        <f>raw_expenses!G67</f>
        <v/>
      </c>
      <c r="H67" s="9">
        <f>IF(COUNTIF(properties!$A$2:$A$21,B67)=0,1,0)</f>
        <v/>
      </c>
      <c r="I67" s="9">
        <f>IF(COUNTIF(A$2:A67,A67)&gt;1,1,0)</f>
        <v/>
      </c>
      <c r="J67" s="9">
        <f>IF(H67+I67=0,1,0)</f>
        <v/>
      </c>
      <c r="K67" s="9">
        <f>IF(AND(C67&gt;=Dashboard!$C$5,C67&lt;=Dashboard!$C$6),1,0)</f>
        <v/>
      </c>
      <c r="L67" s="10">
        <f>E67*J67*K67</f>
        <v/>
      </c>
      <c r="M67" s="10">
        <f>IF(G67="paid",L67,0)</f>
        <v/>
      </c>
      <c r="N67" s="10">
        <f>IF(G67="paid",0,L67)</f>
        <v/>
      </c>
      <c r="O67" s="9">
        <f>IF(H67=1,"Исключено: нет объекта",IF(I67=1,"Исключено: дубль","OK"))</f>
        <v/>
      </c>
    </row>
    <row r="68">
      <c r="A68" s="9">
        <f>raw_expenses!A68</f>
        <v/>
      </c>
      <c r="B68" s="9">
        <f>raw_expenses!B68</f>
        <v/>
      </c>
      <c r="C68" s="24">
        <f>raw_expenses!C68</f>
        <v/>
      </c>
      <c r="D68" s="9">
        <f>raw_expenses!D68</f>
        <v/>
      </c>
      <c r="E68" s="10">
        <f>raw_expenses!E68</f>
        <v/>
      </c>
      <c r="F68" s="9">
        <f>raw_expenses!F68</f>
        <v/>
      </c>
      <c r="G68" s="9">
        <f>raw_expenses!G68</f>
        <v/>
      </c>
      <c r="H68" s="9">
        <f>IF(COUNTIF(properties!$A$2:$A$21,B68)=0,1,0)</f>
        <v/>
      </c>
      <c r="I68" s="9">
        <f>IF(COUNTIF(A$2:A68,A68)&gt;1,1,0)</f>
        <v/>
      </c>
      <c r="J68" s="9">
        <f>IF(H68+I68=0,1,0)</f>
        <v/>
      </c>
      <c r="K68" s="9">
        <f>IF(AND(C68&gt;=Dashboard!$C$5,C68&lt;=Dashboard!$C$6),1,0)</f>
        <v/>
      </c>
      <c r="L68" s="10">
        <f>E68*J68*K68</f>
        <v/>
      </c>
      <c r="M68" s="10">
        <f>IF(G68="paid",L68,0)</f>
        <v/>
      </c>
      <c r="N68" s="10">
        <f>IF(G68="paid",0,L68)</f>
        <v/>
      </c>
      <c r="O68" s="9">
        <f>IF(H68=1,"Исключено: нет объекта",IF(I68=1,"Исключено: дубль","OK"))</f>
        <v/>
      </c>
    </row>
    <row r="69">
      <c r="A69" s="9">
        <f>raw_expenses!A69</f>
        <v/>
      </c>
      <c r="B69" s="9">
        <f>raw_expenses!B69</f>
        <v/>
      </c>
      <c r="C69" s="24">
        <f>raw_expenses!C69</f>
        <v/>
      </c>
      <c r="D69" s="9">
        <f>raw_expenses!D69</f>
        <v/>
      </c>
      <c r="E69" s="10">
        <f>raw_expenses!E69</f>
        <v/>
      </c>
      <c r="F69" s="9">
        <f>raw_expenses!F69</f>
        <v/>
      </c>
      <c r="G69" s="9">
        <f>raw_expenses!G69</f>
        <v/>
      </c>
      <c r="H69" s="9">
        <f>IF(COUNTIF(properties!$A$2:$A$21,B69)=0,1,0)</f>
        <v/>
      </c>
      <c r="I69" s="9">
        <f>IF(COUNTIF(A$2:A69,A69)&gt;1,1,0)</f>
        <v/>
      </c>
      <c r="J69" s="9">
        <f>IF(H69+I69=0,1,0)</f>
        <v/>
      </c>
      <c r="K69" s="9">
        <f>IF(AND(C69&gt;=Dashboard!$C$5,C69&lt;=Dashboard!$C$6),1,0)</f>
        <v/>
      </c>
      <c r="L69" s="10">
        <f>E69*J69*K69</f>
        <v/>
      </c>
      <c r="M69" s="10">
        <f>IF(G69="paid",L69,0)</f>
        <v/>
      </c>
      <c r="N69" s="10">
        <f>IF(G69="paid",0,L69)</f>
        <v/>
      </c>
      <c r="O69" s="9">
        <f>IF(H69=1,"Исключено: нет объекта",IF(I69=1,"Исключено: дубль","OK"))</f>
        <v/>
      </c>
    </row>
    <row r="70">
      <c r="A70" s="9">
        <f>raw_expenses!A70</f>
        <v/>
      </c>
      <c r="B70" s="9">
        <f>raw_expenses!B70</f>
        <v/>
      </c>
      <c r="C70" s="24">
        <f>raw_expenses!C70</f>
        <v/>
      </c>
      <c r="D70" s="9">
        <f>raw_expenses!D70</f>
        <v/>
      </c>
      <c r="E70" s="10">
        <f>raw_expenses!E70</f>
        <v/>
      </c>
      <c r="F70" s="9">
        <f>raw_expenses!F70</f>
        <v/>
      </c>
      <c r="G70" s="9">
        <f>raw_expenses!G70</f>
        <v/>
      </c>
      <c r="H70" s="9">
        <f>IF(COUNTIF(properties!$A$2:$A$21,B70)=0,1,0)</f>
        <v/>
      </c>
      <c r="I70" s="9">
        <f>IF(COUNTIF(A$2:A70,A70)&gt;1,1,0)</f>
        <v/>
      </c>
      <c r="J70" s="9">
        <f>IF(H70+I70=0,1,0)</f>
        <v/>
      </c>
      <c r="K70" s="9">
        <f>IF(AND(C70&gt;=Dashboard!$C$5,C70&lt;=Dashboard!$C$6),1,0)</f>
        <v/>
      </c>
      <c r="L70" s="10">
        <f>E70*J70*K70</f>
        <v/>
      </c>
      <c r="M70" s="10">
        <f>IF(G70="paid",L70,0)</f>
        <v/>
      </c>
      <c r="N70" s="10">
        <f>IF(G70="paid",0,L70)</f>
        <v/>
      </c>
      <c r="O70" s="9">
        <f>IF(H70=1,"Исключено: нет объекта",IF(I70=1,"Исключено: дубль","OK"))</f>
        <v/>
      </c>
    </row>
    <row r="71">
      <c r="A71" s="9">
        <f>raw_expenses!A71</f>
        <v/>
      </c>
      <c r="B71" s="9">
        <f>raw_expenses!B71</f>
        <v/>
      </c>
      <c r="C71" s="24">
        <f>raw_expenses!C71</f>
        <v/>
      </c>
      <c r="D71" s="9">
        <f>raw_expenses!D71</f>
        <v/>
      </c>
      <c r="E71" s="10">
        <f>raw_expenses!E71</f>
        <v/>
      </c>
      <c r="F71" s="9">
        <f>raw_expenses!F71</f>
        <v/>
      </c>
      <c r="G71" s="9">
        <f>raw_expenses!G71</f>
        <v/>
      </c>
      <c r="H71" s="9">
        <f>IF(COUNTIF(properties!$A$2:$A$21,B71)=0,1,0)</f>
        <v/>
      </c>
      <c r="I71" s="9">
        <f>IF(COUNTIF(A$2:A71,A71)&gt;1,1,0)</f>
        <v/>
      </c>
      <c r="J71" s="9">
        <f>IF(H71+I71=0,1,0)</f>
        <v/>
      </c>
      <c r="K71" s="9">
        <f>IF(AND(C71&gt;=Dashboard!$C$5,C71&lt;=Dashboard!$C$6),1,0)</f>
        <v/>
      </c>
      <c r="L71" s="10">
        <f>E71*J71*K71</f>
        <v/>
      </c>
      <c r="M71" s="10">
        <f>IF(G71="paid",L71,0)</f>
        <v/>
      </c>
      <c r="N71" s="10">
        <f>IF(G71="paid",0,L71)</f>
        <v/>
      </c>
      <c r="O71" s="9">
        <f>IF(H71=1,"Исключено: нет объекта",IF(I71=1,"Исключено: дубль","OK"))</f>
        <v/>
      </c>
    </row>
    <row r="72">
      <c r="A72" s="9">
        <f>raw_expenses!A72</f>
        <v/>
      </c>
      <c r="B72" s="9">
        <f>raw_expenses!B72</f>
        <v/>
      </c>
      <c r="C72" s="24">
        <f>raw_expenses!C72</f>
        <v/>
      </c>
      <c r="D72" s="9">
        <f>raw_expenses!D72</f>
        <v/>
      </c>
      <c r="E72" s="10">
        <f>raw_expenses!E72</f>
        <v/>
      </c>
      <c r="F72" s="9">
        <f>raw_expenses!F72</f>
        <v/>
      </c>
      <c r="G72" s="9">
        <f>raw_expenses!G72</f>
        <v/>
      </c>
      <c r="H72" s="9">
        <f>IF(COUNTIF(properties!$A$2:$A$21,B72)=0,1,0)</f>
        <v/>
      </c>
      <c r="I72" s="9">
        <f>IF(COUNTIF(A$2:A72,A72)&gt;1,1,0)</f>
        <v/>
      </c>
      <c r="J72" s="9">
        <f>IF(H72+I72=0,1,0)</f>
        <v/>
      </c>
      <c r="K72" s="9">
        <f>IF(AND(C72&gt;=Dashboard!$C$5,C72&lt;=Dashboard!$C$6),1,0)</f>
        <v/>
      </c>
      <c r="L72" s="10">
        <f>E72*J72*K72</f>
        <v/>
      </c>
      <c r="M72" s="10">
        <f>IF(G72="paid",L72,0)</f>
        <v/>
      </c>
      <c r="N72" s="10">
        <f>IF(G72="paid",0,L72)</f>
        <v/>
      </c>
      <c r="O72" s="9">
        <f>IF(H72=1,"Исключено: нет объекта",IF(I72=1,"Исключено: дубль","OK"))</f>
        <v/>
      </c>
    </row>
    <row r="73">
      <c r="A73" s="9">
        <f>raw_expenses!A73</f>
        <v/>
      </c>
      <c r="B73" s="9">
        <f>raw_expenses!B73</f>
        <v/>
      </c>
      <c r="C73" s="24">
        <f>raw_expenses!C73</f>
        <v/>
      </c>
      <c r="D73" s="9">
        <f>raw_expenses!D73</f>
        <v/>
      </c>
      <c r="E73" s="10">
        <f>raw_expenses!E73</f>
        <v/>
      </c>
      <c r="F73" s="9">
        <f>raw_expenses!F73</f>
        <v/>
      </c>
      <c r="G73" s="9">
        <f>raw_expenses!G73</f>
        <v/>
      </c>
      <c r="H73" s="9">
        <f>IF(COUNTIF(properties!$A$2:$A$21,B73)=0,1,0)</f>
        <v/>
      </c>
      <c r="I73" s="9">
        <f>IF(COUNTIF(A$2:A73,A73)&gt;1,1,0)</f>
        <v/>
      </c>
      <c r="J73" s="9">
        <f>IF(H73+I73=0,1,0)</f>
        <v/>
      </c>
      <c r="K73" s="9">
        <f>IF(AND(C73&gt;=Dashboard!$C$5,C73&lt;=Dashboard!$C$6),1,0)</f>
        <v/>
      </c>
      <c r="L73" s="10">
        <f>E73*J73*K73</f>
        <v/>
      </c>
      <c r="M73" s="10">
        <f>IF(G73="paid",L73,0)</f>
        <v/>
      </c>
      <c r="N73" s="10">
        <f>IF(G73="paid",0,L73)</f>
        <v/>
      </c>
      <c r="O73" s="9">
        <f>IF(H73=1,"Исключено: нет объекта",IF(I73=1,"Исключено: дубль","OK"))</f>
        <v/>
      </c>
    </row>
    <row r="74">
      <c r="A74" s="9">
        <f>raw_expenses!A74</f>
        <v/>
      </c>
      <c r="B74" s="9">
        <f>raw_expenses!B74</f>
        <v/>
      </c>
      <c r="C74" s="24">
        <f>raw_expenses!C74</f>
        <v/>
      </c>
      <c r="D74" s="9">
        <f>raw_expenses!D74</f>
        <v/>
      </c>
      <c r="E74" s="10">
        <f>raw_expenses!E74</f>
        <v/>
      </c>
      <c r="F74" s="9">
        <f>raw_expenses!F74</f>
        <v/>
      </c>
      <c r="G74" s="9">
        <f>raw_expenses!G74</f>
        <v/>
      </c>
      <c r="H74" s="9">
        <f>IF(COUNTIF(properties!$A$2:$A$21,B74)=0,1,0)</f>
        <v/>
      </c>
      <c r="I74" s="9">
        <f>IF(COUNTIF(A$2:A74,A74)&gt;1,1,0)</f>
        <v/>
      </c>
      <c r="J74" s="9">
        <f>IF(H74+I74=0,1,0)</f>
        <v/>
      </c>
      <c r="K74" s="9">
        <f>IF(AND(C74&gt;=Dashboard!$C$5,C74&lt;=Dashboard!$C$6),1,0)</f>
        <v/>
      </c>
      <c r="L74" s="10">
        <f>E74*J74*K74</f>
        <v/>
      </c>
      <c r="M74" s="10">
        <f>IF(G74="paid",L74,0)</f>
        <v/>
      </c>
      <c r="N74" s="10">
        <f>IF(G74="paid",0,L74)</f>
        <v/>
      </c>
      <c r="O74" s="9">
        <f>IF(H74=1,"Исключено: нет объекта",IF(I74=1,"Исключено: дубль","OK"))</f>
        <v/>
      </c>
    </row>
    <row r="75">
      <c r="A75" s="9">
        <f>raw_expenses!A75</f>
        <v/>
      </c>
      <c r="B75" s="9">
        <f>raw_expenses!B75</f>
        <v/>
      </c>
      <c r="C75" s="24">
        <f>raw_expenses!C75</f>
        <v/>
      </c>
      <c r="D75" s="9">
        <f>raw_expenses!D75</f>
        <v/>
      </c>
      <c r="E75" s="10">
        <f>raw_expenses!E75</f>
        <v/>
      </c>
      <c r="F75" s="9">
        <f>raw_expenses!F75</f>
        <v/>
      </c>
      <c r="G75" s="9">
        <f>raw_expenses!G75</f>
        <v/>
      </c>
      <c r="H75" s="9">
        <f>IF(COUNTIF(properties!$A$2:$A$21,B75)=0,1,0)</f>
        <v/>
      </c>
      <c r="I75" s="9">
        <f>IF(COUNTIF(A$2:A75,A75)&gt;1,1,0)</f>
        <v/>
      </c>
      <c r="J75" s="9">
        <f>IF(H75+I75=0,1,0)</f>
        <v/>
      </c>
      <c r="K75" s="9">
        <f>IF(AND(C75&gt;=Dashboard!$C$5,C75&lt;=Dashboard!$C$6),1,0)</f>
        <v/>
      </c>
      <c r="L75" s="10">
        <f>E75*J75*K75</f>
        <v/>
      </c>
      <c r="M75" s="10">
        <f>IF(G75="paid",L75,0)</f>
        <v/>
      </c>
      <c r="N75" s="10">
        <f>IF(G75="paid",0,L75)</f>
        <v/>
      </c>
      <c r="O75" s="9">
        <f>IF(H75=1,"Исключено: нет объекта",IF(I75=1,"Исключено: дубль","OK"))</f>
        <v/>
      </c>
    </row>
    <row r="76">
      <c r="A76" s="9">
        <f>raw_expenses!A76</f>
        <v/>
      </c>
      <c r="B76" s="9">
        <f>raw_expenses!B76</f>
        <v/>
      </c>
      <c r="C76" s="24">
        <f>raw_expenses!C76</f>
        <v/>
      </c>
      <c r="D76" s="9">
        <f>raw_expenses!D76</f>
        <v/>
      </c>
      <c r="E76" s="10">
        <f>raw_expenses!E76</f>
        <v/>
      </c>
      <c r="F76" s="9">
        <f>raw_expenses!F76</f>
        <v/>
      </c>
      <c r="G76" s="9">
        <f>raw_expenses!G76</f>
        <v/>
      </c>
      <c r="H76" s="9">
        <f>IF(COUNTIF(properties!$A$2:$A$21,B76)=0,1,0)</f>
        <v/>
      </c>
      <c r="I76" s="9">
        <f>IF(COUNTIF(A$2:A76,A76)&gt;1,1,0)</f>
        <v/>
      </c>
      <c r="J76" s="9">
        <f>IF(H76+I76=0,1,0)</f>
        <v/>
      </c>
      <c r="K76" s="9">
        <f>IF(AND(C76&gt;=Dashboard!$C$5,C76&lt;=Dashboard!$C$6),1,0)</f>
        <v/>
      </c>
      <c r="L76" s="10">
        <f>E76*J76*K76</f>
        <v/>
      </c>
      <c r="M76" s="10">
        <f>IF(G76="paid",L76,0)</f>
        <v/>
      </c>
      <c r="N76" s="10">
        <f>IF(G76="paid",0,L76)</f>
        <v/>
      </c>
      <c r="O76" s="9">
        <f>IF(H76=1,"Исключено: нет объекта",IF(I76=1,"Исключено: дубль","OK"))</f>
        <v/>
      </c>
    </row>
    <row r="77">
      <c r="A77" s="9">
        <f>raw_expenses!A77</f>
        <v/>
      </c>
      <c r="B77" s="9">
        <f>raw_expenses!B77</f>
        <v/>
      </c>
      <c r="C77" s="24">
        <f>raw_expenses!C77</f>
        <v/>
      </c>
      <c r="D77" s="9">
        <f>raw_expenses!D77</f>
        <v/>
      </c>
      <c r="E77" s="10">
        <f>raw_expenses!E77</f>
        <v/>
      </c>
      <c r="F77" s="9">
        <f>raw_expenses!F77</f>
        <v/>
      </c>
      <c r="G77" s="9">
        <f>raw_expenses!G77</f>
        <v/>
      </c>
      <c r="H77" s="9">
        <f>IF(COUNTIF(properties!$A$2:$A$21,B77)=0,1,0)</f>
        <v/>
      </c>
      <c r="I77" s="9">
        <f>IF(COUNTIF(A$2:A77,A77)&gt;1,1,0)</f>
        <v/>
      </c>
      <c r="J77" s="9">
        <f>IF(H77+I77=0,1,0)</f>
        <v/>
      </c>
      <c r="K77" s="9">
        <f>IF(AND(C77&gt;=Dashboard!$C$5,C77&lt;=Dashboard!$C$6),1,0)</f>
        <v/>
      </c>
      <c r="L77" s="10">
        <f>E77*J77*K77</f>
        <v/>
      </c>
      <c r="M77" s="10">
        <f>IF(G77="paid",L77,0)</f>
        <v/>
      </c>
      <c r="N77" s="10">
        <f>IF(G77="paid",0,L77)</f>
        <v/>
      </c>
      <c r="O77" s="9">
        <f>IF(H77=1,"Исключено: нет объекта",IF(I77=1,"Исключено: дубль","OK"))</f>
        <v/>
      </c>
    </row>
    <row r="78">
      <c r="A78" s="9">
        <f>raw_expenses!A78</f>
        <v/>
      </c>
      <c r="B78" s="9">
        <f>raw_expenses!B78</f>
        <v/>
      </c>
      <c r="C78" s="24">
        <f>raw_expenses!C78</f>
        <v/>
      </c>
      <c r="D78" s="9">
        <f>raw_expenses!D78</f>
        <v/>
      </c>
      <c r="E78" s="10">
        <f>raw_expenses!E78</f>
        <v/>
      </c>
      <c r="F78" s="9">
        <f>raw_expenses!F78</f>
        <v/>
      </c>
      <c r="G78" s="9">
        <f>raw_expenses!G78</f>
        <v/>
      </c>
      <c r="H78" s="9">
        <f>IF(COUNTIF(properties!$A$2:$A$21,B78)=0,1,0)</f>
        <v/>
      </c>
      <c r="I78" s="9">
        <f>IF(COUNTIF(A$2:A78,A78)&gt;1,1,0)</f>
        <v/>
      </c>
      <c r="J78" s="9">
        <f>IF(H78+I78=0,1,0)</f>
        <v/>
      </c>
      <c r="K78" s="9">
        <f>IF(AND(C78&gt;=Dashboard!$C$5,C78&lt;=Dashboard!$C$6),1,0)</f>
        <v/>
      </c>
      <c r="L78" s="10">
        <f>E78*J78*K78</f>
        <v/>
      </c>
      <c r="M78" s="10">
        <f>IF(G78="paid",L78,0)</f>
        <v/>
      </c>
      <c r="N78" s="10">
        <f>IF(G78="paid",0,L78)</f>
        <v/>
      </c>
      <c r="O78" s="9">
        <f>IF(H78=1,"Исключено: нет объекта",IF(I78=1,"Исключено: дубль","OK"))</f>
        <v/>
      </c>
    </row>
    <row r="79">
      <c r="A79" s="9">
        <f>raw_expenses!A79</f>
        <v/>
      </c>
      <c r="B79" s="9">
        <f>raw_expenses!B79</f>
        <v/>
      </c>
      <c r="C79" s="24">
        <f>raw_expenses!C79</f>
        <v/>
      </c>
      <c r="D79" s="9">
        <f>raw_expenses!D79</f>
        <v/>
      </c>
      <c r="E79" s="10">
        <f>raw_expenses!E79</f>
        <v/>
      </c>
      <c r="F79" s="9">
        <f>raw_expenses!F79</f>
        <v/>
      </c>
      <c r="G79" s="9">
        <f>raw_expenses!G79</f>
        <v/>
      </c>
      <c r="H79" s="9">
        <f>IF(COUNTIF(properties!$A$2:$A$21,B79)=0,1,0)</f>
        <v/>
      </c>
      <c r="I79" s="9">
        <f>IF(COUNTIF(A$2:A79,A79)&gt;1,1,0)</f>
        <v/>
      </c>
      <c r="J79" s="9">
        <f>IF(H79+I79=0,1,0)</f>
        <v/>
      </c>
      <c r="K79" s="9">
        <f>IF(AND(C79&gt;=Dashboard!$C$5,C79&lt;=Dashboard!$C$6),1,0)</f>
        <v/>
      </c>
      <c r="L79" s="10">
        <f>E79*J79*K79</f>
        <v/>
      </c>
      <c r="M79" s="10">
        <f>IF(G79="paid",L79,0)</f>
        <v/>
      </c>
      <c r="N79" s="10">
        <f>IF(G79="paid",0,L79)</f>
        <v/>
      </c>
      <c r="O79" s="9">
        <f>IF(H79=1,"Исключено: нет объекта",IF(I79=1,"Исключено: дубль","OK"))</f>
        <v/>
      </c>
    </row>
    <row r="80">
      <c r="A80" s="9">
        <f>raw_expenses!A80</f>
        <v/>
      </c>
      <c r="B80" s="9">
        <f>raw_expenses!B80</f>
        <v/>
      </c>
      <c r="C80" s="24">
        <f>raw_expenses!C80</f>
        <v/>
      </c>
      <c r="D80" s="9">
        <f>raw_expenses!D80</f>
        <v/>
      </c>
      <c r="E80" s="10">
        <f>raw_expenses!E80</f>
        <v/>
      </c>
      <c r="F80" s="9">
        <f>raw_expenses!F80</f>
        <v/>
      </c>
      <c r="G80" s="9">
        <f>raw_expenses!G80</f>
        <v/>
      </c>
      <c r="H80" s="9">
        <f>IF(COUNTIF(properties!$A$2:$A$21,B80)=0,1,0)</f>
        <v/>
      </c>
      <c r="I80" s="9">
        <f>IF(COUNTIF(A$2:A80,A80)&gt;1,1,0)</f>
        <v/>
      </c>
      <c r="J80" s="9">
        <f>IF(H80+I80=0,1,0)</f>
        <v/>
      </c>
      <c r="K80" s="9">
        <f>IF(AND(C80&gt;=Dashboard!$C$5,C80&lt;=Dashboard!$C$6),1,0)</f>
        <v/>
      </c>
      <c r="L80" s="10">
        <f>E80*J80*K80</f>
        <v/>
      </c>
      <c r="M80" s="10">
        <f>IF(G80="paid",L80,0)</f>
        <v/>
      </c>
      <c r="N80" s="10">
        <f>IF(G80="paid",0,L80)</f>
        <v/>
      </c>
      <c r="O80" s="9">
        <f>IF(H80=1,"Исключено: нет объекта",IF(I80=1,"Исключено: дубль","OK"))</f>
        <v/>
      </c>
    </row>
    <row r="81">
      <c r="A81" s="9">
        <f>raw_expenses!A81</f>
        <v/>
      </c>
      <c r="B81" s="9">
        <f>raw_expenses!B81</f>
        <v/>
      </c>
      <c r="C81" s="24">
        <f>raw_expenses!C81</f>
        <v/>
      </c>
      <c r="D81" s="9">
        <f>raw_expenses!D81</f>
        <v/>
      </c>
      <c r="E81" s="10">
        <f>raw_expenses!E81</f>
        <v/>
      </c>
      <c r="F81" s="9">
        <f>raw_expenses!F81</f>
        <v/>
      </c>
      <c r="G81" s="9">
        <f>raw_expenses!G81</f>
        <v/>
      </c>
      <c r="H81" s="9">
        <f>IF(COUNTIF(properties!$A$2:$A$21,B81)=0,1,0)</f>
        <v/>
      </c>
      <c r="I81" s="9">
        <f>IF(COUNTIF(A$2:A81,A81)&gt;1,1,0)</f>
        <v/>
      </c>
      <c r="J81" s="9">
        <f>IF(H81+I81=0,1,0)</f>
        <v/>
      </c>
      <c r="K81" s="9">
        <f>IF(AND(C81&gt;=Dashboard!$C$5,C81&lt;=Dashboard!$C$6),1,0)</f>
        <v/>
      </c>
      <c r="L81" s="10">
        <f>E81*J81*K81</f>
        <v/>
      </c>
      <c r="M81" s="10">
        <f>IF(G81="paid",L81,0)</f>
        <v/>
      </c>
      <c r="N81" s="10">
        <f>IF(G81="paid",0,L81)</f>
        <v/>
      </c>
      <c r="O81" s="9">
        <f>IF(H81=1,"Исключено: нет объекта",IF(I81=1,"Исключено: дубль","OK"))</f>
        <v/>
      </c>
    </row>
    <row r="82">
      <c r="A82" s="9">
        <f>raw_expenses!A82</f>
        <v/>
      </c>
      <c r="B82" s="9">
        <f>raw_expenses!B82</f>
        <v/>
      </c>
      <c r="C82" s="24">
        <f>raw_expenses!C82</f>
        <v/>
      </c>
      <c r="D82" s="9">
        <f>raw_expenses!D82</f>
        <v/>
      </c>
      <c r="E82" s="10">
        <f>raw_expenses!E82</f>
        <v/>
      </c>
      <c r="F82" s="9">
        <f>raw_expenses!F82</f>
        <v/>
      </c>
      <c r="G82" s="9">
        <f>raw_expenses!G82</f>
        <v/>
      </c>
      <c r="H82" s="9">
        <f>IF(COUNTIF(properties!$A$2:$A$21,B82)=0,1,0)</f>
        <v/>
      </c>
      <c r="I82" s="9">
        <f>IF(COUNTIF(A$2:A82,A82)&gt;1,1,0)</f>
        <v/>
      </c>
      <c r="J82" s="9">
        <f>IF(H82+I82=0,1,0)</f>
        <v/>
      </c>
      <c r="K82" s="9">
        <f>IF(AND(C82&gt;=Dashboard!$C$5,C82&lt;=Dashboard!$C$6),1,0)</f>
        <v/>
      </c>
      <c r="L82" s="10">
        <f>E82*J82*K82</f>
        <v/>
      </c>
      <c r="M82" s="10">
        <f>IF(G82="paid",L82,0)</f>
        <v/>
      </c>
      <c r="N82" s="10">
        <f>IF(G82="paid",0,L82)</f>
        <v/>
      </c>
      <c r="O82" s="9">
        <f>IF(H82=1,"Исключено: нет объекта",IF(I82=1,"Исключено: дубль","OK"))</f>
        <v/>
      </c>
    </row>
    <row r="83">
      <c r="A83" s="9">
        <f>raw_expenses!A83</f>
        <v/>
      </c>
      <c r="B83" s="9">
        <f>raw_expenses!B83</f>
        <v/>
      </c>
      <c r="C83" s="24">
        <f>raw_expenses!C83</f>
        <v/>
      </c>
      <c r="D83" s="9">
        <f>raw_expenses!D83</f>
        <v/>
      </c>
      <c r="E83" s="10">
        <f>raw_expenses!E83</f>
        <v/>
      </c>
      <c r="F83" s="9">
        <f>raw_expenses!F83</f>
        <v/>
      </c>
      <c r="G83" s="9">
        <f>raw_expenses!G83</f>
        <v/>
      </c>
      <c r="H83" s="9">
        <f>IF(COUNTIF(properties!$A$2:$A$21,B83)=0,1,0)</f>
        <v/>
      </c>
      <c r="I83" s="9">
        <f>IF(COUNTIF(A$2:A83,A83)&gt;1,1,0)</f>
        <v/>
      </c>
      <c r="J83" s="9">
        <f>IF(H83+I83=0,1,0)</f>
        <v/>
      </c>
      <c r="K83" s="9">
        <f>IF(AND(C83&gt;=Dashboard!$C$5,C83&lt;=Dashboard!$C$6),1,0)</f>
        <v/>
      </c>
      <c r="L83" s="10">
        <f>E83*J83*K83</f>
        <v/>
      </c>
      <c r="M83" s="10">
        <f>IF(G83="paid",L83,0)</f>
        <v/>
      </c>
      <c r="N83" s="10">
        <f>IF(G83="paid",0,L83)</f>
        <v/>
      </c>
      <c r="O83" s="9">
        <f>IF(H83=1,"Исключено: нет объекта",IF(I83=1,"Исключено: дубль","OK"))</f>
        <v/>
      </c>
    </row>
    <row r="84">
      <c r="A84" s="9">
        <f>raw_expenses!A84</f>
        <v/>
      </c>
      <c r="B84" s="9">
        <f>raw_expenses!B84</f>
        <v/>
      </c>
      <c r="C84" s="24">
        <f>raw_expenses!C84</f>
        <v/>
      </c>
      <c r="D84" s="9">
        <f>raw_expenses!D84</f>
        <v/>
      </c>
      <c r="E84" s="10">
        <f>raw_expenses!E84</f>
        <v/>
      </c>
      <c r="F84" s="9">
        <f>raw_expenses!F84</f>
        <v/>
      </c>
      <c r="G84" s="9">
        <f>raw_expenses!G84</f>
        <v/>
      </c>
      <c r="H84" s="9">
        <f>IF(COUNTIF(properties!$A$2:$A$21,B84)=0,1,0)</f>
        <v/>
      </c>
      <c r="I84" s="9">
        <f>IF(COUNTIF(A$2:A84,A84)&gt;1,1,0)</f>
        <v/>
      </c>
      <c r="J84" s="9">
        <f>IF(H84+I84=0,1,0)</f>
        <v/>
      </c>
      <c r="K84" s="9">
        <f>IF(AND(C84&gt;=Dashboard!$C$5,C84&lt;=Dashboard!$C$6),1,0)</f>
        <v/>
      </c>
      <c r="L84" s="10">
        <f>E84*J84*K84</f>
        <v/>
      </c>
      <c r="M84" s="10">
        <f>IF(G84="paid",L84,0)</f>
        <v/>
      </c>
      <c r="N84" s="10">
        <f>IF(G84="paid",0,L84)</f>
        <v/>
      </c>
      <c r="O84" s="9">
        <f>IF(H84=1,"Исключено: нет объекта",IF(I84=1,"Исключено: дубль","OK"))</f>
        <v/>
      </c>
    </row>
    <row r="85">
      <c r="A85" s="9">
        <f>raw_expenses!A85</f>
        <v/>
      </c>
      <c r="B85" s="9">
        <f>raw_expenses!B85</f>
        <v/>
      </c>
      <c r="C85" s="24">
        <f>raw_expenses!C85</f>
        <v/>
      </c>
      <c r="D85" s="9">
        <f>raw_expenses!D85</f>
        <v/>
      </c>
      <c r="E85" s="10">
        <f>raw_expenses!E85</f>
        <v/>
      </c>
      <c r="F85" s="9">
        <f>raw_expenses!F85</f>
        <v/>
      </c>
      <c r="G85" s="9">
        <f>raw_expenses!G85</f>
        <v/>
      </c>
      <c r="H85" s="9">
        <f>IF(COUNTIF(properties!$A$2:$A$21,B85)=0,1,0)</f>
        <v/>
      </c>
      <c r="I85" s="9">
        <f>IF(COUNTIF(A$2:A85,A85)&gt;1,1,0)</f>
        <v/>
      </c>
      <c r="J85" s="9">
        <f>IF(H85+I85=0,1,0)</f>
        <v/>
      </c>
      <c r="K85" s="9">
        <f>IF(AND(C85&gt;=Dashboard!$C$5,C85&lt;=Dashboard!$C$6),1,0)</f>
        <v/>
      </c>
      <c r="L85" s="10">
        <f>E85*J85*K85</f>
        <v/>
      </c>
      <c r="M85" s="10">
        <f>IF(G85="paid",L85,0)</f>
        <v/>
      </c>
      <c r="N85" s="10">
        <f>IF(G85="paid",0,L85)</f>
        <v/>
      </c>
      <c r="O85" s="9">
        <f>IF(H85=1,"Исключено: нет объекта",IF(I85=1,"Исключено: дубль","OK"))</f>
        <v/>
      </c>
    </row>
    <row r="86">
      <c r="A86" s="9">
        <f>raw_expenses!A86</f>
        <v/>
      </c>
      <c r="B86" s="9">
        <f>raw_expenses!B86</f>
        <v/>
      </c>
      <c r="C86" s="24">
        <f>raw_expenses!C86</f>
        <v/>
      </c>
      <c r="D86" s="9">
        <f>raw_expenses!D86</f>
        <v/>
      </c>
      <c r="E86" s="10">
        <f>raw_expenses!E86</f>
        <v/>
      </c>
      <c r="F86" s="9">
        <f>raw_expenses!F86</f>
        <v/>
      </c>
      <c r="G86" s="9">
        <f>raw_expenses!G86</f>
        <v/>
      </c>
      <c r="H86" s="9">
        <f>IF(COUNTIF(properties!$A$2:$A$21,B86)=0,1,0)</f>
        <v/>
      </c>
      <c r="I86" s="9">
        <f>IF(COUNTIF(A$2:A86,A86)&gt;1,1,0)</f>
        <v/>
      </c>
      <c r="J86" s="9">
        <f>IF(H86+I86=0,1,0)</f>
        <v/>
      </c>
      <c r="K86" s="9">
        <f>IF(AND(C86&gt;=Dashboard!$C$5,C86&lt;=Dashboard!$C$6),1,0)</f>
        <v/>
      </c>
      <c r="L86" s="10">
        <f>E86*J86*K86</f>
        <v/>
      </c>
      <c r="M86" s="10">
        <f>IF(G86="paid",L86,0)</f>
        <v/>
      </c>
      <c r="N86" s="10">
        <f>IF(G86="paid",0,L86)</f>
        <v/>
      </c>
      <c r="O86" s="9">
        <f>IF(H86=1,"Исключено: нет объекта",IF(I86=1,"Исключено: дубль","OK"))</f>
        <v/>
      </c>
    </row>
    <row r="87">
      <c r="A87" s="9">
        <f>raw_expenses!A87</f>
        <v/>
      </c>
      <c r="B87" s="9">
        <f>raw_expenses!B87</f>
        <v/>
      </c>
      <c r="C87" s="24">
        <f>raw_expenses!C87</f>
        <v/>
      </c>
      <c r="D87" s="9">
        <f>raw_expenses!D87</f>
        <v/>
      </c>
      <c r="E87" s="10">
        <f>raw_expenses!E87</f>
        <v/>
      </c>
      <c r="F87" s="9">
        <f>raw_expenses!F87</f>
        <v/>
      </c>
      <c r="G87" s="9">
        <f>raw_expenses!G87</f>
        <v/>
      </c>
      <c r="H87" s="9">
        <f>IF(COUNTIF(properties!$A$2:$A$21,B87)=0,1,0)</f>
        <v/>
      </c>
      <c r="I87" s="9">
        <f>IF(COUNTIF(A$2:A87,A87)&gt;1,1,0)</f>
        <v/>
      </c>
      <c r="J87" s="9">
        <f>IF(H87+I87=0,1,0)</f>
        <v/>
      </c>
      <c r="K87" s="9">
        <f>IF(AND(C87&gt;=Dashboard!$C$5,C87&lt;=Dashboard!$C$6),1,0)</f>
        <v/>
      </c>
      <c r="L87" s="10">
        <f>E87*J87*K87</f>
        <v/>
      </c>
      <c r="M87" s="10">
        <f>IF(G87="paid",L87,0)</f>
        <v/>
      </c>
      <c r="N87" s="10">
        <f>IF(G87="paid",0,L87)</f>
        <v/>
      </c>
      <c r="O87" s="9">
        <f>IF(H87=1,"Исключено: нет объекта",IF(I87=1,"Исключено: дубль","OK"))</f>
        <v/>
      </c>
    </row>
    <row r="88">
      <c r="A88" s="9">
        <f>raw_expenses!A88</f>
        <v/>
      </c>
      <c r="B88" s="9">
        <f>raw_expenses!B88</f>
        <v/>
      </c>
      <c r="C88" s="24">
        <f>raw_expenses!C88</f>
        <v/>
      </c>
      <c r="D88" s="9">
        <f>raw_expenses!D88</f>
        <v/>
      </c>
      <c r="E88" s="10">
        <f>raw_expenses!E88</f>
        <v/>
      </c>
      <c r="F88" s="9">
        <f>raw_expenses!F88</f>
        <v/>
      </c>
      <c r="G88" s="9">
        <f>raw_expenses!G88</f>
        <v/>
      </c>
      <c r="H88" s="9">
        <f>IF(COUNTIF(properties!$A$2:$A$21,B88)=0,1,0)</f>
        <v/>
      </c>
      <c r="I88" s="9">
        <f>IF(COUNTIF(A$2:A88,A88)&gt;1,1,0)</f>
        <v/>
      </c>
      <c r="J88" s="9">
        <f>IF(H88+I88=0,1,0)</f>
        <v/>
      </c>
      <c r="K88" s="9">
        <f>IF(AND(C88&gt;=Dashboard!$C$5,C88&lt;=Dashboard!$C$6),1,0)</f>
        <v/>
      </c>
      <c r="L88" s="10">
        <f>E88*J88*K88</f>
        <v/>
      </c>
      <c r="M88" s="10">
        <f>IF(G88="paid",L88,0)</f>
        <v/>
      </c>
      <c r="N88" s="10">
        <f>IF(G88="paid",0,L88)</f>
        <v/>
      </c>
      <c r="O88" s="9">
        <f>IF(H88=1,"Исключено: нет объекта",IF(I88=1,"Исключено: дубль","OK"))</f>
        <v/>
      </c>
    </row>
    <row r="89">
      <c r="A89" s="9">
        <f>raw_expenses!A89</f>
        <v/>
      </c>
      <c r="B89" s="9">
        <f>raw_expenses!B89</f>
        <v/>
      </c>
      <c r="C89" s="24">
        <f>raw_expenses!C89</f>
        <v/>
      </c>
      <c r="D89" s="9">
        <f>raw_expenses!D89</f>
        <v/>
      </c>
      <c r="E89" s="10">
        <f>raw_expenses!E89</f>
        <v/>
      </c>
      <c r="F89" s="9">
        <f>raw_expenses!F89</f>
        <v/>
      </c>
      <c r="G89" s="9">
        <f>raw_expenses!G89</f>
        <v/>
      </c>
      <c r="H89" s="9">
        <f>IF(COUNTIF(properties!$A$2:$A$21,B89)=0,1,0)</f>
        <v/>
      </c>
      <c r="I89" s="9">
        <f>IF(COUNTIF(A$2:A89,A89)&gt;1,1,0)</f>
        <v/>
      </c>
      <c r="J89" s="9">
        <f>IF(H89+I89=0,1,0)</f>
        <v/>
      </c>
      <c r="K89" s="9">
        <f>IF(AND(C89&gt;=Dashboard!$C$5,C89&lt;=Dashboard!$C$6),1,0)</f>
        <v/>
      </c>
      <c r="L89" s="10">
        <f>E89*J89*K89</f>
        <v/>
      </c>
      <c r="M89" s="10">
        <f>IF(G89="paid",L89,0)</f>
        <v/>
      </c>
      <c r="N89" s="10">
        <f>IF(G89="paid",0,L89)</f>
        <v/>
      </c>
      <c r="O89" s="9">
        <f>IF(H89=1,"Исключено: нет объекта",IF(I89=1,"Исключено: дубль","OK"))</f>
        <v/>
      </c>
    </row>
    <row r="90">
      <c r="A90" s="9">
        <f>raw_expenses!A90</f>
        <v/>
      </c>
      <c r="B90" s="9">
        <f>raw_expenses!B90</f>
        <v/>
      </c>
      <c r="C90" s="24">
        <f>raw_expenses!C90</f>
        <v/>
      </c>
      <c r="D90" s="9">
        <f>raw_expenses!D90</f>
        <v/>
      </c>
      <c r="E90" s="10">
        <f>raw_expenses!E90</f>
        <v/>
      </c>
      <c r="F90" s="9">
        <f>raw_expenses!F90</f>
        <v/>
      </c>
      <c r="G90" s="9">
        <f>raw_expenses!G90</f>
        <v/>
      </c>
      <c r="H90" s="9">
        <f>IF(COUNTIF(properties!$A$2:$A$21,B90)=0,1,0)</f>
        <v/>
      </c>
      <c r="I90" s="9">
        <f>IF(COUNTIF(A$2:A90,A90)&gt;1,1,0)</f>
        <v/>
      </c>
      <c r="J90" s="9">
        <f>IF(H90+I90=0,1,0)</f>
        <v/>
      </c>
      <c r="K90" s="9">
        <f>IF(AND(C90&gt;=Dashboard!$C$5,C90&lt;=Dashboard!$C$6),1,0)</f>
        <v/>
      </c>
      <c r="L90" s="10">
        <f>E90*J90*K90</f>
        <v/>
      </c>
      <c r="M90" s="10">
        <f>IF(G90="paid",L90,0)</f>
        <v/>
      </c>
      <c r="N90" s="10">
        <f>IF(G90="paid",0,L90)</f>
        <v/>
      </c>
      <c r="O90" s="9">
        <f>IF(H90=1,"Исключено: нет объекта",IF(I90=1,"Исключено: дубль","OK"))</f>
        <v/>
      </c>
    </row>
    <row r="91">
      <c r="A91" s="9">
        <f>raw_expenses!A91</f>
        <v/>
      </c>
      <c r="B91" s="9">
        <f>raw_expenses!B91</f>
        <v/>
      </c>
      <c r="C91" s="24">
        <f>raw_expenses!C91</f>
        <v/>
      </c>
      <c r="D91" s="9">
        <f>raw_expenses!D91</f>
        <v/>
      </c>
      <c r="E91" s="10">
        <f>raw_expenses!E91</f>
        <v/>
      </c>
      <c r="F91" s="9">
        <f>raw_expenses!F91</f>
        <v/>
      </c>
      <c r="G91" s="9">
        <f>raw_expenses!G91</f>
        <v/>
      </c>
      <c r="H91" s="9">
        <f>IF(COUNTIF(properties!$A$2:$A$21,B91)=0,1,0)</f>
        <v/>
      </c>
      <c r="I91" s="9">
        <f>IF(COUNTIF(A$2:A91,A91)&gt;1,1,0)</f>
        <v/>
      </c>
      <c r="J91" s="9">
        <f>IF(H91+I91=0,1,0)</f>
        <v/>
      </c>
      <c r="K91" s="9">
        <f>IF(AND(C91&gt;=Dashboard!$C$5,C91&lt;=Dashboard!$C$6),1,0)</f>
        <v/>
      </c>
      <c r="L91" s="10">
        <f>E91*J91*K91</f>
        <v/>
      </c>
      <c r="M91" s="10">
        <f>IF(G91="paid",L91,0)</f>
        <v/>
      </c>
      <c r="N91" s="10">
        <f>IF(G91="paid",0,L91)</f>
        <v/>
      </c>
      <c r="O91" s="9">
        <f>IF(H91=1,"Исключено: нет объекта",IF(I91=1,"Исключено: дубль","OK"))</f>
        <v/>
      </c>
    </row>
  </sheetData>
  <autoFilter ref="A1:O9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9AA5B1"/>
    <outlinePr summaryBelow="1" summaryRight="1"/>
    <pageSetUpPr/>
  </sheetPr>
  <dimension ref="A1:K1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0" customHeight="1">
      <c r="A1" s="13" t="inlineStr">
        <is>
          <t>reservation_id</t>
        </is>
      </c>
      <c r="B1" s="13" t="inlineStr">
        <is>
          <t>property_id</t>
        </is>
      </c>
      <c r="C1" s="13" t="inlineStr">
        <is>
          <t>check_in</t>
        </is>
      </c>
      <c r="D1" s="13" t="inlineStr">
        <is>
          <t>check_out</t>
        </is>
      </c>
      <c r="E1" s="13" t="inlineStr">
        <is>
          <t>status</t>
        </is>
      </c>
      <c r="F1" s="13" t="inlineStr">
        <is>
          <t>gross_booking_value</t>
        </is>
      </c>
      <c r="G1" s="13" t="inlineStr">
        <is>
          <t>currency</t>
        </is>
      </c>
      <c r="H1" s="13" t="inlineStr">
        <is>
          <t>ota_fee</t>
        </is>
      </c>
      <c r="I1" s="13" t="inlineStr">
        <is>
          <t>refund_amount</t>
        </is>
      </c>
      <c r="J1" s="13" t="inlineStr">
        <is>
          <t>channel</t>
        </is>
      </c>
      <c r="K1" s="13" t="inlineStr">
        <is>
          <t>updated_at</t>
        </is>
      </c>
    </row>
    <row r="2">
      <c r="A2" s="9" t="inlineStr">
        <is>
          <t>R0001</t>
        </is>
      </c>
      <c r="B2" s="9" t="inlineStr">
        <is>
          <t>V013</t>
        </is>
      </c>
      <c r="C2" s="24" t="n">
        <v>46287</v>
      </c>
      <c r="D2" s="24" t="n">
        <v>46290</v>
      </c>
      <c r="E2" s="9" t="inlineStr">
        <is>
          <t>confirmed</t>
        </is>
      </c>
      <c r="F2" s="12" t="n">
        <v>5285633</v>
      </c>
      <c r="G2" s="9" t="inlineStr">
        <is>
          <t>IDR</t>
        </is>
      </c>
      <c r="H2" s="12" t="n">
        <v>792845</v>
      </c>
      <c r="I2" s="12" t="n">
        <v>0</v>
      </c>
      <c r="J2" s="9" t="inlineStr">
        <is>
          <t>OTA</t>
        </is>
      </c>
      <c r="K2" s="24" t="n">
        <v>46280</v>
      </c>
    </row>
    <row r="3">
      <c r="A3" s="9" t="inlineStr">
        <is>
          <t>R0002</t>
        </is>
      </c>
      <c r="B3" s="9" t="inlineStr">
        <is>
          <t>V019</t>
        </is>
      </c>
      <c r="C3" s="24" t="n">
        <v>46310</v>
      </c>
      <c r="D3" s="24" t="n">
        <v>46314</v>
      </c>
      <c r="E3" s="9" t="inlineStr">
        <is>
          <t>confirmed</t>
        </is>
      </c>
      <c r="F3" s="12" t="n">
        <v>11778798</v>
      </c>
      <c r="G3" s="9" t="inlineStr">
        <is>
          <t>IDR</t>
        </is>
      </c>
      <c r="H3" s="12" t="n">
        <v>1766820</v>
      </c>
      <c r="I3" s="12" t="n">
        <v>0</v>
      </c>
      <c r="J3" s="9" t="inlineStr">
        <is>
          <t>OTA</t>
        </is>
      </c>
      <c r="K3" s="24" t="n">
        <v>46280</v>
      </c>
    </row>
    <row r="4">
      <c r="A4" s="9" t="inlineStr">
        <is>
          <t>R0003</t>
        </is>
      </c>
      <c r="B4" s="9" t="inlineStr">
        <is>
          <t>V013</t>
        </is>
      </c>
      <c r="C4" s="24" t="n">
        <v>46320</v>
      </c>
      <c r="D4" s="24" t="n">
        <v>46327</v>
      </c>
      <c r="E4" s="9" t="inlineStr">
        <is>
          <t>confirmed</t>
        </is>
      </c>
      <c r="F4" s="12" t="n">
        <v>12170856</v>
      </c>
      <c r="G4" s="9" t="inlineStr">
        <is>
          <t>IDR</t>
        </is>
      </c>
      <c r="H4" s="12" t="n">
        <v>1460503</v>
      </c>
      <c r="I4" s="12" t="n">
        <v>0</v>
      </c>
      <c r="J4" s="9" t="inlineStr">
        <is>
          <t>OTA</t>
        </is>
      </c>
      <c r="K4" s="24" t="n">
        <v>46280</v>
      </c>
    </row>
    <row r="5">
      <c r="A5" s="9" t="inlineStr">
        <is>
          <t>R0004</t>
        </is>
      </c>
      <c r="B5" s="9" t="inlineStr">
        <is>
          <t>V008</t>
        </is>
      </c>
      <c r="C5" s="24" t="n">
        <v>46308</v>
      </c>
      <c r="D5" s="24" t="n">
        <v>46316</v>
      </c>
      <c r="E5" s="9" t="inlineStr">
        <is>
          <t>confirmed</t>
        </is>
      </c>
      <c r="F5" s="12" t="n">
        <v>2807588</v>
      </c>
      <c r="G5" s="9" t="inlineStr">
        <is>
          <t>IDR</t>
        </is>
      </c>
      <c r="H5" s="12" t="n">
        <v>421138</v>
      </c>
      <c r="I5" s="12" t="n">
        <v>0</v>
      </c>
      <c r="J5" s="9" t="inlineStr">
        <is>
          <t>OTA</t>
        </is>
      </c>
      <c r="K5" s="24" t="n">
        <v>46280</v>
      </c>
    </row>
    <row r="6">
      <c r="A6" s="9" t="inlineStr">
        <is>
          <t>R0005</t>
        </is>
      </c>
      <c r="B6" s="9" t="inlineStr">
        <is>
          <t>V005</t>
        </is>
      </c>
      <c r="C6" s="24" t="n">
        <v>46275</v>
      </c>
      <c r="D6" s="24" t="n">
        <v>46282</v>
      </c>
      <c r="E6" s="9" t="inlineStr">
        <is>
          <t>confirmed</t>
        </is>
      </c>
      <c r="F6" s="12" t="n">
        <v>7849988</v>
      </c>
      <c r="G6" s="9" t="inlineStr">
        <is>
          <t>IDR</t>
        </is>
      </c>
      <c r="H6" s="12" t="n">
        <v>941999</v>
      </c>
      <c r="I6" s="12" t="n">
        <v>0</v>
      </c>
      <c r="J6" s="9" t="inlineStr">
        <is>
          <t>Direct</t>
        </is>
      </c>
      <c r="K6" s="24" t="n">
        <v>46280</v>
      </c>
    </row>
    <row r="7">
      <c r="A7" s="9" t="inlineStr">
        <is>
          <t>R0006</t>
        </is>
      </c>
      <c r="B7" s="9" t="inlineStr">
        <is>
          <t>V009</t>
        </is>
      </c>
      <c r="C7" s="24" t="n">
        <v>46307</v>
      </c>
      <c r="D7" s="24" t="n">
        <v>46314</v>
      </c>
      <c r="E7" s="9" t="inlineStr">
        <is>
          <t>confirmed</t>
        </is>
      </c>
      <c r="F7" s="12" t="n">
        <v>12914850</v>
      </c>
      <c r="G7" s="9" t="inlineStr">
        <is>
          <t>IDR</t>
        </is>
      </c>
      <c r="H7" s="12" t="n">
        <v>2195524</v>
      </c>
      <c r="I7" s="12" t="n">
        <v>0</v>
      </c>
      <c r="J7" s="9" t="inlineStr">
        <is>
          <t>OTA</t>
        </is>
      </c>
      <c r="K7" s="24" t="n">
        <v>46280</v>
      </c>
    </row>
    <row r="8">
      <c r="A8" s="9" t="inlineStr">
        <is>
          <t>R0007</t>
        </is>
      </c>
      <c r="B8" s="9" t="inlineStr">
        <is>
          <t>V002</t>
        </is>
      </c>
      <c r="C8" s="24" t="n">
        <v>46273</v>
      </c>
      <c r="D8" s="24" t="n">
        <v>46281</v>
      </c>
      <c r="E8" s="9" t="inlineStr">
        <is>
          <t>confirmed</t>
        </is>
      </c>
      <c r="F8" s="12" t="n">
        <v>12360903</v>
      </c>
      <c r="G8" s="9" t="inlineStr">
        <is>
          <t>IDR</t>
        </is>
      </c>
      <c r="H8" s="12" t="n">
        <v>1483308</v>
      </c>
      <c r="I8" s="12" t="n">
        <v>0</v>
      </c>
      <c r="J8" s="9" t="inlineStr">
        <is>
          <t>OTA</t>
        </is>
      </c>
      <c r="K8" s="24" t="n">
        <v>46280</v>
      </c>
    </row>
    <row r="9">
      <c r="A9" s="9" t="inlineStr">
        <is>
          <t>R0008</t>
        </is>
      </c>
      <c r="B9" s="9" t="inlineStr">
        <is>
          <t>V014</t>
        </is>
      </c>
      <c r="C9" s="24" t="n">
        <v>46321</v>
      </c>
      <c r="D9" s="24" t="n">
        <v>46325</v>
      </c>
      <c r="E9" s="9" t="inlineStr">
        <is>
          <t>confirmed</t>
        </is>
      </c>
      <c r="F9" s="12" t="n">
        <v>14828403</v>
      </c>
      <c r="G9" s="9" t="inlineStr">
        <is>
          <t>IDR</t>
        </is>
      </c>
      <c r="H9" s="12" t="n">
        <v>1779408</v>
      </c>
      <c r="I9" s="12" t="n">
        <v>0</v>
      </c>
      <c r="J9" s="9" t="inlineStr">
        <is>
          <t>OTA</t>
        </is>
      </c>
      <c r="K9" s="24" t="n">
        <v>46280</v>
      </c>
    </row>
    <row r="10">
      <c r="A10" s="9" t="inlineStr">
        <is>
          <t>R0009</t>
        </is>
      </c>
      <c r="B10" s="9" t="inlineStr">
        <is>
          <t>V003</t>
        </is>
      </c>
      <c r="C10" s="24" t="n">
        <v>46312</v>
      </c>
      <c r="D10" s="24" t="n">
        <v>46316</v>
      </c>
      <c r="E10" s="9" t="inlineStr">
        <is>
          <t>confirmed</t>
        </is>
      </c>
      <c r="F10" s="12" t="n">
        <v>14786628</v>
      </c>
      <c r="G10" s="9" t="inlineStr">
        <is>
          <t>IDR</t>
        </is>
      </c>
      <c r="H10" s="12" t="n">
        <v>2217994</v>
      </c>
      <c r="I10" s="12" t="n">
        <v>0</v>
      </c>
      <c r="J10" s="9" t="inlineStr">
        <is>
          <t>OTA</t>
        </is>
      </c>
      <c r="K10" s="24" t="n">
        <v>46280</v>
      </c>
    </row>
    <row r="11">
      <c r="A11" s="9" t="inlineStr">
        <is>
          <t>R0010</t>
        </is>
      </c>
      <c r="B11" s="9" t="inlineStr">
        <is>
          <t>V005</t>
        </is>
      </c>
      <c r="C11" s="24" t="n">
        <v>46301</v>
      </c>
      <c r="D11" s="24" t="n">
        <v>46308</v>
      </c>
      <c r="E11" s="9" t="inlineStr">
        <is>
          <t>confirmed</t>
        </is>
      </c>
      <c r="F11" s="12" t="n">
        <v>2811012</v>
      </c>
      <c r="G11" s="9" t="inlineStr">
        <is>
          <t>IDR</t>
        </is>
      </c>
      <c r="H11" s="12" t="n">
        <v>337321</v>
      </c>
      <c r="I11" s="12" t="n">
        <v>0</v>
      </c>
      <c r="J11" s="9" t="inlineStr">
        <is>
          <t>Direct</t>
        </is>
      </c>
      <c r="K11" s="24" t="n">
        <v>46280</v>
      </c>
    </row>
    <row r="12">
      <c r="A12" s="9" t="inlineStr">
        <is>
          <t>R0011</t>
        </is>
      </c>
      <c r="B12" s="9" t="inlineStr">
        <is>
          <t>V004</t>
        </is>
      </c>
      <c r="C12" s="24" t="n">
        <v>46275</v>
      </c>
      <c r="D12" s="24" t="n">
        <v>46282</v>
      </c>
      <c r="E12" s="9" t="inlineStr">
        <is>
          <t>confirmed</t>
        </is>
      </c>
      <c r="F12" s="12" t="n">
        <v>5482028</v>
      </c>
      <c r="G12" s="9" t="inlineStr">
        <is>
          <t>IDR</t>
        </is>
      </c>
      <c r="H12" s="12" t="n">
        <v>657843</v>
      </c>
      <c r="I12" s="12" t="n">
        <v>0</v>
      </c>
      <c r="J12" s="9" t="inlineStr">
        <is>
          <t>OTA</t>
        </is>
      </c>
      <c r="K12" s="24" t="n">
        <v>46280</v>
      </c>
    </row>
    <row r="13">
      <c r="A13" s="9" t="inlineStr">
        <is>
          <t>R0012</t>
        </is>
      </c>
      <c r="B13" s="9" t="inlineStr">
        <is>
          <t>V009</t>
        </is>
      </c>
      <c r="C13" s="24" t="n">
        <v>46286</v>
      </c>
      <c r="D13" s="24" t="n">
        <v>46289</v>
      </c>
      <c r="E13" s="9" t="inlineStr">
        <is>
          <t>confirmed</t>
        </is>
      </c>
      <c r="F13" s="12" t="n">
        <v>12900194</v>
      </c>
      <c r="G13" s="9" t="inlineStr">
        <is>
          <t>IDR</t>
        </is>
      </c>
      <c r="H13" s="12" t="n">
        <v>1548023</v>
      </c>
      <c r="I13" s="12" t="n">
        <v>0</v>
      </c>
      <c r="J13" s="9" t="inlineStr">
        <is>
          <t>OTA</t>
        </is>
      </c>
      <c r="K13" s="24" t="n">
        <v>46280</v>
      </c>
    </row>
    <row r="14">
      <c r="A14" s="9" t="inlineStr">
        <is>
          <t>R0013</t>
        </is>
      </c>
      <c r="B14" s="9" t="inlineStr">
        <is>
          <t>V020</t>
        </is>
      </c>
      <c r="C14" s="24" t="n">
        <v>46302</v>
      </c>
      <c r="D14" s="24" t="n">
        <v>46305</v>
      </c>
      <c r="E14" s="9" t="inlineStr">
        <is>
          <t>confirmed</t>
        </is>
      </c>
      <c r="F14" s="12" t="n">
        <v>9796359</v>
      </c>
      <c r="G14" s="9" t="inlineStr">
        <is>
          <t>IDR</t>
        </is>
      </c>
      <c r="H14" s="12" t="n">
        <v>1175563</v>
      </c>
      <c r="I14" s="12" t="n">
        <v>0</v>
      </c>
      <c r="J14" s="9" t="inlineStr">
        <is>
          <t>OTA</t>
        </is>
      </c>
      <c r="K14" s="24" t="n">
        <v>46280</v>
      </c>
    </row>
    <row r="15">
      <c r="A15" s="9" t="inlineStr">
        <is>
          <t>R0014</t>
        </is>
      </c>
      <c r="B15" s="9" t="inlineStr">
        <is>
          <t>V010</t>
        </is>
      </c>
      <c r="C15" s="24" t="n">
        <v>46291</v>
      </c>
      <c r="D15" s="24" t="n">
        <v>46294</v>
      </c>
      <c r="E15" s="9" t="inlineStr">
        <is>
          <t>confirmed</t>
        </is>
      </c>
      <c r="F15" s="12" t="n">
        <v>4290322</v>
      </c>
      <c r="G15" s="9" t="inlineStr">
        <is>
          <t>IDR</t>
        </is>
      </c>
      <c r="H15" s="12" t="n">
        <v>729355</v>
      </c>
      <c r="I15" s="12" t="n">
        <v>0</v>
      </c>
      <c r="J15" s="9" t="inlineStr">
        <is>
          <t>OTA</t>
        </is>
      </c>
      <c r="K15" s="24" t="n">
        <v>46280</v>
      </c>
    </row>
    <row r="16">
      <c r="A16" s="9" t="inlineStr">
        <is>
          <t>R0015</t>
        </is>
      </c>
      <c r="B16" s="9" t="inlineStr">
        <is>
          <t>V003</t>
        </is>
      </c>
      <c r="C16" s="24" t="n">
        <v>46292</v>
      </c>
      <c r="D16" s="24" t="n">
        <v>46294</v>
      </c>
      <c r="E16" s="9" t="inlineStr">
        <is>
          <t>confirmed</t>
        </is>
      </c>
      <c r="F16" s="12" t="n">
        <v>13628994</v>
      </c>
      <c r="G16" s="9" t="inlineStr">
        <is>
          <t>IDR</t>
        </is>
      </c>
      <c r="H16" s="12" t="n">
        <v>2316929</v>
      </c>
      <c r="I16" s="12" t="n">
        <v>0</v>
      </c>
      <c r="J16" s="9" t="inlineStr">
        <is>
          <t>Direct</t>
        </is>
      </c>
      <c r="K16" s="24" t="n">
        <v>46280</v>
      </c>
    </row>
    <row r="17">
      <c r="A17" s="9" t="inlineStr">
        <is>
          <t>R0016</t>
        </is>
      </c>
      <c r="B17" s="9" t="inlineStr">
        <is>
          <t>V016</t>
        </is>
      </c>
      <c r="C17" s="24" t="n">
        <v>46321</v>
      </c>
      <c r="D17" s="24" t="n">
        <v>46326</v>
      </c>
      <c r="E17" s="9" t="inlineStr">
        <is>
          <t>confirmed</t>
        </is>
      </c>
      <c r="F17" s="12" t="n">
        <v>6365525</v>
      </c>
      <c r="G17" s="9" t="inlineStr">
        <is>
          <t>IDR</t>
        </is>
      </c>
      <c r="H17" s="12" t="n">
        <v>763863</v>
      </c>
      <c r="I17" s="12" t="n">
        <v>0</v>
      </c>
      <c r="J17" s="9" t="inlineStr">
        <is>
          <t>OTA</t>
        </is>
      </c>
      <c r="K17" s="24" t="n">
        <v>46280</v>
      </c>
    </row>
    <row r="18">
      <c r="A18" s="9" t="inlineStr">
        <is>
          <t>R0017</t>
        </is>
      </c>
      <c r="B18" s="9" t="inlineStr">
        <is>
          <t>V003</t>
        </is>
      </c>
      <c r="C18" s="24" t="n">
        <v>46274</v>
      </c>
      <c r="D18" s="24" t="n">
        <v>46276</v>
      </c>
      <c r="E18" s="9" t="inlineStr">
        <is>
          <t>confirmed</t>
        </is>
      </c>
      <c r="F18" s="12" t="n">
        <v>10190964</v>
      </c>
      <c r="G18" s="9" t="inlineStr">
        <is>
          <t>IDR</t>
        </is>
      </c>
      <c r="H18" s="12" t="n">
        <v>1732464</v>
      </c>
      <c r="I18" s="12" t="n">
        <v>0</v>
      </c>
      <c r="J18" s="9" t="inlineStr">
        <is>
          <t>OTA</t>
        </is>
      </c>
      <c r="K18" s="24" t="n">
        <v>46280</v>
      </c>
    </row>
    <row r="19">
      <c r="A19" s="9" t="inlineStr">
        <is>
          <t>R0018</t>
        </is>
      </c>
      <c r="B19" s="9" t="inlineStr">
        <is>
          <t>V013</t>
        </is>
      </c>
      <c r="C19" s="24" t="n">
        <v>46293</v>
      </c>
      <c r="D19" s="24" t="n">
        <v>46299</v>
      </c>
      <c r="E19" s="9" t="inlineStr">
        <is>
          <t>confirmed</t>
        </is>
      </c>
      <c r="F19" s="12" t="n">
        <v>14989658</v>
      </c>
      <c r="G19" s="9" t="inlineStr">
        <is>
          <t>IDR</t>
        </is>
      </c>
      <c r="H19" s="12" t="n">
        <v>2248449</v>
      </c>
      <c r="I19" s="12" t="n">
        <v>0</v>
      </c>
      <c r="J19" s="9" t="inlineStr">
        <is>
          <t>OTA</t>
        </is>
      </c>
      <c r="K19" s="24" t="n">
        <v>46280</v>
      </c>
    </row>
    <row r="20">
      <c r="A20" s="9" t="inlineStr">
        <is>
          <t>R0019</t>
        </is>
      </c>
      <c r="B20" s="9" t="inlineStr">
        <is>
          <t>V018</t>
        </is>
      </c>
      <c r="C20" s="24" t="n">
        <v>46267</v>
      </c>
      <c r="D20" s="24" t="n">
        <v>46269</v>
      </c>
      <c r="E20" s="9" t="inlineStr">
        <is>
          <t>confirmed</t>
        </is>
      </c>
      <c r="F20" s="12" t="n">
        <v>13491067</v>
      </c>
      <c r="G20" s="9" t="inlineStr">
        <is>
          <t>IDR</t>
        </is>
      </c>
      <c r="H20" s="12" t="n">
        <v>2023660</v>
      </c>
      <c r="I20" s="12" t="n">
        <v>0</v>
      </c>
      <c r="J20" s="9" t="inlineStr">
        <is>
          <t>OTA</t>
        </is>
      </c>
      <c r="K20" s="24" t="n">
        <v>46280</v>
      </c>
    </row>
    <row r="21">
      <c r="A21" s="9" t="inlineStr">
        <is>
          <t>R0020</t>
        </is>
      </c>
      <c r="B21" s="9" t="inlineStr">
        <is>
          <t>V011</t>
        </is>
      </c>
      <c r="C21" s="24" t="n">
        <v>46277</v>
      </c>
      <c r="D21" s="24" t="n">
        <v>46280</v>
      </c>
      <c r="E21" s="9" t="inlineStr">
        <is>
          <t>confirmed</t>
        </is>
      </c>
      <c r="F21" s="12" t="n">
        <v>3602767</v>
      </c>
      <c r="G21" s="9" t="inlineStr">
        <is>
          <t>IDR</t>
        </is>
      </c>
      <c r="H21" s="12" t="n">
        <v>612470</v>
      </c>
      <c r="I21" s="12" t="n">
        <v>0</v>
      </c>
      <c r="J21" s="9" t="inlineStr">
        <is>
          <t>Direct</t>
        </is>
      </c>
      <c r="K21" s="24" t="n">
        <v>46280</v>
      </c>
    </row>
    <row r="22">
      <c r="A22" s="9" t="inlineStr">
        <is>
          <t>R0021</t>
        </is>
      </c>
      <c r="B22" s="9" t="inlineStr">
        <is>
          <t>V002</t>
        </is>
      </c>
      <c r="C22" s="24" t="n">
        <v>46312</v>
      </c>
      <c r="D22" s="24" t="n">
        <v>46320</v>
      </c>
      <c r="E22" s="9" t="inlineStr">
        <is>
          <t>confirmed</t>
        </is>
      </c>
      <c r="F22" s="12" t="n">
        <v>13943005</v>
      </c>
      <c r="G22" s="9" t="inlineStr">
        <is>
          <t>IDR</t>
        </is>
      </c>
      <c r="H22" s="12" t="n">
        <v>1673161</v>
      </c>
      <c r="I22" s="12" t="n">
        <v>0</v>
      </c>
      <c r="J22" s="9" t="inlineStr">
        <is>
          <t>OTA</t>
        </is>
      </c>
      <c r="K22" s="24" t="n">
        <v>46280</v>
      </c>
    </row>
    <row r="23">
      <c r="A23" s="9" t="inlineStr">
        <is>
          <t>R0022</t>
        </is>
      </c>
      <c r="B23" s="9" t="inlineStr">
        <is>
          <t>V005</t>
        </is>
      </c>
      <c r="C23" s="24" t="n">
        <v>46292</v>
      </c>
      <c r="D23" s="24" t="n">
        <v>46299</v>
      </c>
      <c r="E23" s="9" t="inlineStr">
        <is>
          <t>confirmed</t>
        </is>
      </c>
      <c r="F23" s="12" t="n">
        <v>14409482</v>
      </c>
      <c r="G23" s="9" t="inlineStr">
        <is>
          <t>IDR</t>
        </is>
      </c>
      <c r="H23" s="12" t="n">
        <v>2449612</v>
      </c>
      <c r="I23" s="12" t="n">
        <v>0</v>
      </c>
      <c r="J23" s="9" t="inlineStr">
        <is>
          <t>OTA</t>
        </is>
      </c>
      <c r="K23" s="24" t="n">
        <v>46280</v>
      </c>
    </row>
    <row r="24">
      <c r="A24" s="9" t="inlineStr">
        <is>
          <t>R0023</t>
        </is>
      </c>
      <c r="B24" s="9" t="inlineStr">
        <is>
          <t>V003</t>
        </is>
      </c>
      <c r="C24" s="24" t="n">
        <v>46304</v>
      </c>
      <c r="D24" s="24" t="n">
        <v>46310</v>
      </c>
      <c r="E24" s="9" t="inlineStr">
        <is>
          <t>confirmed</t>
        </is>
      </c>
      <c r="F24" s="12" t="n">
        <v>9519266</v>
      </c>
      <c r="G24" s="9" t="inlineStr">
        <is>
          <t>IDR</t>
        </is>
      </c>
      <c r="H24" s="12" t="n">
        <v>1618275</v>
      </c>
      <c r="I24" s="12" t="n">
        <v>0</v>
      </c>
      <c r="J24" s="9" t="inlineStr">
        <is>
          <t>OTA</t>
        </is>
      </c>
      <c r="K24" s="24" t="n">
        <v>46280</v>
      </c>
    </row>
    <row r="25">
      <c r="A25" s="9" t="inlineStr">
        <is>
          <t>R0024</t>
        </is>
      </c>
      <c r="B25" s="9" t="inlineStr">
        <is>
          <t>V004</t>
        </is>
      </c>
      <c r="C25" s="24" t="n">
        <v>46281</v>
      </c>
      <c r="D25" s="24" t="n">
        <v>46284</v>
      </c>
      <c r="E25" s="9" t="inlineStr">
        <is>
          <t>confirmed</t>
        </is>
      </c>
      <c r="F25" s="12" t="n">
        <v>9838148</v>
      </c>
      <c r="G25" s="9" t="inlineStr">
        <is>
          <t>IDR</t>
        </is>
      </c>
      <c r="H25" s="12" t="n">
        <v>1475722</v>
      </c>
      <c r="I25" s="12" t="n">
        <v>0</v>
      </c>
      <c r="J25" s="9" t="inlineStr">
        <is>
          <t>OTA</t>
        </is>
      </c>
      <c r="K25" s="24" t="n">
        <v>46280</v>
      </c>
    </row>
    <row r="26">
      <c r="A26" s="9" t="inlineStr">
        <is>
          <t>R0025</t>
        </is>
      </c>
      <c r="B26" s="9" t="inlineStr">
        <is>
          <t>V015</t>
        </is>
      </c>
      <c r="C26" s="24" t="n">
        <v>46309</v>
      </c>
      <c r="D26" s="24" t="n">
        <v>46316</v>
      </c>
      <c r="E26" s="9" t="inlineStr">
        <is>
          <t>confirmed</t>
        </is>
      </c>
      <c r="F26" s="12" t="n">
        <v>9388940</v>
      </c>
      <c r="G26" s="9" t="inlineStr">
        <is>
          <t>IDR</t>
        </is>
      </c>
      <c r="H26" s="12" t="n">
        <v>1408341</v>
      </c>
      <c r="I26" s="12" t="n">
        <v>0</v>
      </c>
      <c r="J26" s="9" t="inlineStr">
        <is>
          <t>Direct</t>
        </is>
      </c>
      <c r="K26" s="24" t="n">
        <v>46280</v>
      </c>
    </row>
    <row r="27">
      <c r="A27" s="9" t="inlineStr">
        <is>
          <t>R0026</t>
        </is>
      </c>
      <c r="B27" s="9" t="inlineStr">
        <is>
          <t>V003</t>
        </is>
      </c>
      <c r="C27" s="24" t="n">
        <v>46308</v>
      </c>
      <c r="D27" s="24" t="n">
        <v>46312</v>
      </c>
      <c r="E27" s="9" t="inlineStr">
        <is>
          <t>confirmed</t>
        </is>
      </c>
      <c r="F27" s="12" t="n">
        <v>11595421</v>
      </c>
      <c r="G27" s="9" t="inlineStr">
        <is>
          <t>IDR</t>
        </is>
      </c>
      <c r="H27" s="12" t="n">
        <v>1391451</v>
      </c>
      <c r="I27" s="12" t="n">
        <v>0</v>
      </c>
      <c r="J27" s="9" t="inlineStr">
        <is>
          <t>OTA</t>
        </is>
      </c>
      <c r="K27" s="24" t="n">
        <v>46280</v>
      </c>
    </row>
    <row r="28">
      <c r="A28" s="9" t="inlineStr">
        <is>
          <t>R0027</t>
        </is>
      </c>
      <c r="B28" s="9" t="inlineStr">
        <is>
          <t>V008</t>
        </is>
      </c>
      <c r="C28" s="24" t="n">
        <v>46283</v>
      </c>
      <c r="D28" s="24" t="n">
        <v>46288</v>
      </c>
      <c r="E28" s="9" t="inlineStr">
        <is>
          <t>confirmed</t>
        </is>
      </c>
      <c r="F28" s="12" t="n">
        <v>14311944</v>
      </c>
      <c r="G28" s="9" t="inlineStr">
        <is>
          <t>IDR</t>
        </is>
      </c>
      <c r="H28" s="12" t="n">
        <v>2146792</v>
      </c>
      <c r="I28" s="12" t="n">
        <v>0</v>
      </c>
      <c r="J28" s="9" t="inlineStr">
        <is>
          <t>OTA</t>
        </is>
      </c>
      <c r="K28" s="24" t="n">
        <v>46280</v>
      </c>
    </row>
    <row r="29">
      <c r="A29" s="9" t="inlineStr">
        <is>
          <t>R0028</t>
        </is>
      </c>
      <c r="B29" s="9" t="inlineStr">
        <is>
          <t>V020</t>
        </is>
      </c>
      <c r="C29" s="24" t="n">
        <v>46290</v>
      </c>
      <c r="D29" s="24" t="n">
        <v>46298</v>
      </c>
      <c r="E29" s="9" t="inlineStr">
        <is>
          <t>confirmed</t>
        </is>
      </c>
      <c r="F29" s="12" t="n">
        <v>7444951</v>
      </c>
      <c r="G29" s="9" t="inlineStr">
        <is>
          <t>IDR</t>
        </is>
      </c>
      <c r="H29" s="12" t="n">
        <v>1116743</v>
      </c>
      <c r="I29" s="12" t="n">
        <v>0</v>
      </c>
      <c r="J29" s="9" t="inlineStr">
        <is>
          <t>OTA</t>
        </is>
      </c>
      <c r="K29" s="24" t="n">
        <v>46280</v>
      </c>
    </row>
    <row r="30">
      <c r="A30" s="9" t="inlineStr">
        <is>
          <t>R0029</t>
        </is>
      </c>
      <c r="B30" s="9" t="inlineStr">
        <is>
          <t>V003</t>
        </is>
      </c>
      <c r="C30" s="24" t="n">
        <v>46279</v>
      </c>
      <c r="D30" s="24" t="n">
        <v>46285</v>
      </c>
      <c r="E30" s="9" t="inlineStr">
        <is>
          <t>confirmed</t>
        </is>
      </c>
      <c r="F30" s="12" t="n">
        <v>5255702</v>
      </c>
      <c r="G30" s="9" t="inlineStr">
        <is>
          <t>IDR</t>
        </is>
      </c>
      <c r="H30" s="12" t="n">
        <v>630684</v>
      </c>
      <c r="I30" s="12" t="n">
        <v>0</v>
      </c>
      <c r="J30" s="9" t="inlineStr">
        <is>
          <t>OTA</t>
        </is>
      </c>
      <c r="K30" s="24" t="n">
        <v>46280</v>
      </c>
    </row>
    <row r="31">
      <c r="A31" s="9" t="inlineStr">
        <is>
          <t>R0030</t>
        </is>
      </c>
      <c r="B31" s="9" t="inlineStr">
        <is>
          <t>V001</t>
        </is>
      </c>
      <c r="C31" s="24" t="n">
        <v>46280</v>
      </c>
      <c r="D31" s="24" t="n">
        <v>46283</v>
      </c>
      <c r="E31" s="9" t="inlineStr">
        <is>
          <t>confirmed</t>
        </is>
      </c>
      <c r="F31" s="12" t="n">
        <v>10364904</v>
      </c>
      <c r="G31" s="9" t="inlineStr">
        <is>
          <t>IDR</t>
        </is>
      </c>
      <c r="H31" s="12" t="n">
        <v>1762034</v>
      </c>
      <c r="I31" s="12" t="n">
        <v>0</v>
      </c>
      <c r="J31" s="9" t="inlineStr">
        <is>
          <t>Direct</t>
        </is>
      </c>
      <c r="K31" s="24" t="n">
        <v>46280</v>
      </c>
    </row>
    <row r="32">
      <c r="A32" s="9" t="inlineStr">
        <is>
          <t>R0031</t>
        </is>
      </c>
      <c r="B32" s="9" t="inlineStr">
        <is>
          <t>V008</t>
        </is>
      </c>
      <c r="C32" s="24" t="n">
        <v>46270</v>
      </c>
      <c r="D32" s="24" t="n">
        <v>46273</v>
      </c>
      <c r="E32" s="9" t="inlineStr">
        <is>
          <t>confirmed</t>
        </is>
      </c>
      <c r="F32" s="12" t="n">
        <v>11687955</v>
      </c>
      <c r="G32" s="9" t="inlineStr">
        <is>
          <t>IDR</t>
        </is>
      </c>
      <c r="H32" s="12" t="n">
        <v>1986952</v>
      </c>
      <c r="I32" s="12" t="n">
        <v>0</v>
      </c>
      <c r="J32" s="9" t="inlineStr">
        <is>
          <t>OTA</t>
        </is>
      </c>
      <c r="K32" s="24" t="n">
        <v>46280</v>
      </c>
    </row>
    <row r="33">
      <c r="A33" s="9" t="inlineStr">
        <is>
          <t>R0032</t>
        </is>
      </c>
      <c r="B33" s="9" t="inlineStr">
        <is>
          <t>V020</t>
        </is>
      </c>
      <c r="C33" s="24" t="n">
        <v>46275</v>
      </c>
      <c r="D33" s="24" t="n">
        <v>46280</v>
      </c>
      <c r="E33" s="9" t="inlineStr">
        <is>
          <t>confirmed</t>
        </is>
      </c>
      <c r="F33" s="12" t="n">
        <v>8020880</v>
      </c>
      <c r="G33" s="9" t="inlineStr">
        <is>
          <t>IDR</t>
        </is>
      </c>
      <c r="H33" s="12" t="n">
        <v>962506</v>
      </c>
      <c r="I33" s="12" t="n">
        <v>0</v>
      </c>
      <c r="J33" s="9" t="inlineStr">
        <is>
          <t>OTA</t>
        </is>
      </c>
      <c r="K33" s="24" t="n">
        <v>46280</v>
      </c>
    </row>
    <row r="34">
      <c r="A34" s="9" t="inlineStr">
        <is>
          <t>R0033</t>
        </is>
      </c>
      <c r="B34" s="9" t="inlineStr">
        <is>
          <t>V008</t>
        </is>
      </c>
      <c r="C34" s="24" t="n">
        <v>46290</v>
      </c>
      <c r="D34" s="24" t="n">
        <v>46297</v>
      </c>
      <c r="E34" s="9" t="inlineStr">
        <is>
          <t>confirmed</t>
        </is>
      </c>
      <c r="F34" s="12" t="n">
        <v>14606373</v>
      </c>
      <c r="G34" s="9" t="inlineStr">
        <is>
          <t>IDR</t>
        </is>
      </c>
      <c r="H34" s="12" t="n">
        <v>1752765</v>
      </c>
      <c r="I34" s="12" t="n">
        <v>0</v>
      </c>
      <c r="J34" s="9" t="inlineStr">
        <is>
          <t>OTA</t>
        </is>
      </c>
      <c r="K34" s="24" t="n">
        <v>46280</v>
      </c>
    </row>
    <row r="35">
      <c r="A35" s="9" t="inlineStr">
        <is>
          <t>R0034</t>
        </is>
      </c>
      <c r="B35" s="9" t="inlineStr">
        <is>
          <t>V999</t>
        </is>
      </c>
      <c r="C35" s="24" t="n">
        <v>46304</v>
      </c>
      <c r="D35" s="24" t="n">
        <v>46311</v>
      </c>
      <c r="E35" s="9" t="inlineStr">
        <is>
          <t>confirmed</t>
        </is>
      </c>
      <c r="F35" s="12" t="n">
        <v>14462943</v>
      </c>
      <c r="G35" s="9" t="inlineStr">
        <is>
          <t>IDR</t>
        </is>
      </c>
      <c r="H35" s="12" t="n">
        <v>1735553</v>
      </c>
      <c r="I35" s="12" t="n">
        <v>0</v>
      </c>
      <c r="J35" s="9" t="inlineStr">
        <is>
          <t>OTA</t>
        </is>
      </c>
      <c r="K35" s="24" t="n">
        <v>46280</v>
      </c>
    </row>
    <row r="36">
      <c r="A36" s="9" t="inlineStr">
        <is>
          <t>R0035</t>
        </is>
      </c>
      <c r="B36" s="9" t="inlineStr">
        <is>
          <t>V018</t>
        </is>
      </c>
      <c r="C36" s="24" t="n">
        <v>46315</v>
      </c>
      <c r="D36" s="24" t="n">
        <v>46320</v>
      </c>
      <c r="E36" s="9" t="inlineStr">
        <is>
          <t>confirmed</t>
        </is>
      </c>
      <c r="F36" s="12" t="n">
        <v>9089264</v>
      </c>
      <c r="G36" s="9" t="inlineStr">
        <is>
          <t>IDR</t>
        </is>
      </c>
      <c r="H36" s="12" t="n">
        <v>1363390</v>
      </c>
      <c r="I36" s="12" t="n">
        <v>0</v>
      </c>
      <c r="J36" s="9" t="inlineStr">
        <is>
          <t>Direct</t>
        </is>
      </c>
      <c r="K36" s="24" t="n">
        <v>46280</v>
      </c>
    </row>
    <row r="37">
      <c r="A37" s="9" t="inlineStr">
        <is>
          <t>R0036</t>
        </is>
      </c>
      <c r="B37" s="9" t="inlineStr">
        <is>
          <t>V009</t>
        </is>
      </c>
      <c r="C37" s="24" t="n">
        <v>46318</v>
      </c>
      <c r="D37" s="24" t="n">
        <v>46322</v>
      </c>
      <c r="E37" s="9" t="inlineStr">
        <is>
          <t>confirmed</t>
        </is>
      </c>
      <c r="F37" s="12" t="n">
        <v>3000696</v>
      </c>
      <c r="G37" s="9" t="inlineStr">
        <is>
          <t>IDR</t>
        </is>
      </c>
      <c r="H37" s="12" t="n">
        <v>360084</v>
      </c>
      <c r="I37" s="12" t="n">
        <v>0</v>
      </c>
      <c r="J37" s="9" t="inlineStr">
        <is>
          <t>OTA</t>
        </is>
      </c>
      <c r="K37" s="24" t="n">
        <v>46280</v>
      </c>
    </row>
    <row r="38">
      <c r="A38" s="9" t="inlineStr">
        <is>
          <t>R0037</t>
        </is>
      </c>
      <c r="B38" s="9" t="inlineStr">
        <is>
          <t>V019</t>
        </is>
      </c>
      <c r="C38" s="24" t="n">
        <v>46311</v>
      </c>
      <c r="D38" s="24" t="n">
        <v>46314</v>
      </c>
      <c r="E38" s="9" t="inlineStr">
        <is>
          <t>confirmed</t>
        </is>
      </c>
      <c r="F38" s="12" t="n">
        <v>13209000</v>
      </c>
      <c r="G38" s="9" t="inlineStr">
        <is>
          <t>IDR</t>
        </is>
      </c>
      <c r="H38" s="12" t="n">
        <v>1585080</v>
      </c>
      <c r="I38" s="12" t="n">
        <v>0</v>
      </c>
      <c r="J38" s="9" t="inlineStr">
        <is>
          <t>OTA</t>
        </is>
      </c>
      <c r="K38" s="24" t="n">
        <v>46280</v>
      </c>
    </row>
    <row r="39">
      <c r="A39" s="9" t="inlineStr">
        <is>
          <t>R0038</t>
        </is>
      </c>
      <c r="B39" s="9" t="inlineStr">
        <is>
          <t>V017</t>
        </is>
      </c>
      <c r="C39" s="24" t="n">
        <v>46299</v>
      </c>
      <c r="D39" s="24" t="n">
        <v>46306</v>
      </c>
      <c r="E39" s="9" t="inlineStr">
        <is>
          <t>confirmed</t>
        </is>
      </c>
      <c r="F39" s="12" t="n">
        <v>5469713</v>
      </c>
      <c r="G39" s="9" t="inlineStr">
        <is>
          <t>IDR</t>
        </is>
      </c>
      <c r="H39" s="12" t="n">
        <v>820457</v>
      </c>
      <c r="I39" s="12" t="n">
        <v>0</v>
      </c>
      <c r="J39" s="9" t="inlineStr">
        <is>
          <t>OTA</t>
        </is>
      </c>
      <c r="K39" s="24" t="n">
        <v>46280</v>
      </c>
    </row>
    <row r="40">
      <c r="A40" s="9" t="inlineStr">
        <is>
          <t>R0039</t>
        </is>
      </c>
      <c r="B40" s="9" t="inlineStr">
        <is>
          <t>V003</t>
        </is>
      </c>
      <c r="C40" s="24" t="n">
        <v>46268</v>
      </c>
      <c r="D40" s="24" t="n">
        <v>46274</v>
      </c>
      <c r="E40" s="9" t="inlineStr">
        <is>
          <t>confirmed</t>
        </is>
      </c>
      <c r="F40" s="12" t="n">
        <v>13681939</v>
      </c>
      <c r="G40" s="9" t="inlineStr">
        <is>
          <t>IDR</t>
        </is>
      </c>
      <c r="H40" s="12" t="n">
        <v>2325930</v>
      </c>
      <c r="I40" s="12" t="n">
        <v>0</v>
      </c>
      <c r="J40" s="9" t="inlineStr">
        <is>
          <t>OTA</t>
        </is>
      </c>
      <c r="K40" s="24" t="n">
        <v>46280</v>
      </c>
    </row>
    <row r="41">
      <c r="A41" s="9" t="inlineStr">
        <is>
          <t>R0040</t>
        </is>
      </c>
      <c r="B41" s="9" t="inlineStr">
        <is>
          <t>V012</t>
        </is>
      </c>
      <c r="C41" s="24" t="n">
        <v>46279</v>
      </c>
      <c r="D41" s="24" t="n">
        <v>46286</v>
      </c>
      <c r="E41" s="9" t="inlineStr">
        <is>
          <t>confirmed</t>
        </is>
      </c>
      <c r="F41" s="12" t="n">
        <v>9199023</v>
      </c>
      <c r="G41" s="9" t="inlineStr">
        <is>
          <t>IDR</t>
        </is>
      </c>
      <c r="H41" s="12" t="n">
        <v>1379853</v>
      </c>
      <c r="I41" s="12" t="n">
        <v>0</v>
      </c>
      <c r="J41" s="9" t="inlineStr">
        <is>
          <t>Direct</t>
        </is>
      </c>
      <c r="K41" s="24" t="n">
        <v>46280</v>
      </c>
    </row>
    <row r="42">
      <c r="A42" s="9" t="inlineStr">
        <is>
          <t>R0041</t>
        </is>
      </c>
      <c r="B42" s="9" t="inlineStr">
        <is>
          <t>V010</t>
        </is>
      </c>
      <c r="C42" s="24" t="n">
        <v>46275</v>
      </c>
      <c r="D42" s="24" t="n">
        <v>46279</v>
      </c>
      <c r="E42" s="9" t="inlineStr">
        <is>
          <t>confirmed</t>
        </is>
      </c>
      <c r="F42" s="12" t="n">
        <v>8870514</v>
      </c>
      <c r="G42" s="9" t="inlineStr">
        <is>
          <t>IDR</t>
        </is>
      </c>
      <c r="H42" s="12" t="n">
        <v>1507987</v>
      </c>
      <c r="I42" s="12" t="n">
        <v>0</v>
      </c>
      <c r="J42" s="9" t="inlineStr">
        <is>
          <t>OTA</t>
        </is>
      </c>
      <c r="K42" s="24" t="n">
        <v>46280</v>
      </c>
    </row>
    <row r="43">
      <c r="A43" s="9" t="inlineStr">
        <is>
          <t>R0042</t>
        </is>
      </c>
      <c r="B43" s="9" t="inlineStr">
        <is>
          <t>V008</t>
        </is>
      </c>
      <c r="C43" s="24" t="n">
        <v>46319</v>
      </c>
      <c r="D43" s="24" t="n">
        <v>46321</v>
      </c>
      <c r="E43" s="9" t="inlineStr">
        <is>
          <t>confirmed</t>
        </is>
      </c>
      <c r="F43" s="12" t="n">
        <v>14355006</v>
      </c>
      <c r="G43" s="9" t="inlineStr">
        <is>
          <t>IDR</t>
        </is>
      </c>
      <c r="H43" s="12" t="n">
        <v>2153251</v>
      </c>
      <c r="I43" s="12" t="n">
        <v>0</v>
      </c>
      <c r="J43" s="9" t="inlineStr">
        <is>
          <t>OTA</t>
        </is>
      </c>
      <c r="K43" s="24" t="n">
        <v>46280</v>
      </c>
    </row>
    <row r="44">
      <c r="A44" s="9" t="inlineStr">
        <is>
          <t>R0043</t>
        </is>
      </c>
      <c r="B44" s="9" t="inlineStr">
        <is>
          <t>V020</t>
        </is>
      </c>
      <c r="C44" s="24" t="n">
        <v>46303</v>
      </c>
      <c r="D44" s="24" t="n">
        <v>46308</v>
      </c>
      <c r="E44" s="9" t="inlineStr">
        <is>
          <t>confirmed</t>
        </is>
      </c>
      <c r="F44" s="12" t="n">
        <v>7587282</v>
      </c>
      <c r="G44" s="9" t="inlineStr">
        <is>
          <t>IDR</t>
        </is>
      </c>
      <c r="H44" s="12" t="n">
        <v>1138092</v>
      </c>
      <c r="I44" s="12" t="n">
        <v>0</v>
      </c>
      <c r="J44" s="9" t="inlineStr">
        <is>
          <t>OTA</t>
        </is>
      </c>
      <c r="K44" s="24" t="n">
        <v>46280</v>
      </c>
    </row>
    <row r="45">
      <c r="A45" s="9" t="inlineStr">
        <is>
          <t>R0044</t>
        </is>
      </c>
      <c r="B45" s="9" t="inlineStr">
        <is>
          <t>V016</t>
        </is>
      </c>
      <c r="C45" s="24" t="n">
        <v>46310</v>
      </c>
      <c r="D45" s="24" t="n">
        <v>46318</v>
      </c>
      <c r="E45" s="9" t="inlineStr">
        <is>
          <t>confirmed</t>
        </is>
      </c>
      <c r="F45" s="12" t="n">
        <v>6510552</v>
      </c>
      <c r="G45" s="9" t="inlineStr">
        <is>
          <t>IDR</t>
        </is>
      </c>
      <c r="H45" s="12" t="n">
        <v>781266</v>
      </c>
      <c r="I45" s="12" t="n">
        <v>0</v>
      </c>
      <c r="J45" s="9" t="inlineStr">
        <is>
          <t>OTA</t>
        </is>
      </c>
      <c r="K45" s="24" t="n">
        <v>46280</v>
      </c>
    </row>
    <row r="46">
      <c r="A46" s="9" t="inlineStr">
        <is>
          <t>R0045</t>
        </is>
      </c>
      <c r="B46" s="9" t="inlineStr">
        <is>
          <t>V017</t>
        </is>
      </c>
      <c r="C46" s="24" t="n">
        <v>46296</v>
      </c>
      <c r="D46" s="24" t="n">
        <v>46302</v>
      </c>
      <c r="E46" s="9" t="inlineStr">
        <is>
          <t>confirmed</t>
        </is>
      </c>
      <c r="F46" s="12" t="n">
        <v>9902337</v>
      </c>
      <c r="G46" s="9" t="inlineStr">
        <is>
          <t>IDR</t>
        </is>
      </c>
      <c r="H46" s="12" t="n">
        <v>1188280</v>
      </c>
      <c r="I46" s="12" t="n">
        <v>0</v>
      </c>
      <c r="J46" s="9" t="inlineStr">
        <is>
          <t>Direct</t>
        </is>
      </c>
      <c r="K46" s="24" t="n">
        <v>46280</v>
      </c>
    </row>
    <row r="47">
      <c r="A47" s="9" t="inlineStr">
        <is>
          <t>R0046</t>
        </is>
      </c>
      <c r="B47" s="9" t="inlineStr">
        <is>
          <t>V016</t>
        </is>
      </c>
      <c r="C47" s="24" t="n">
        <v>46277</v>
      </c>
      <c r="D47" s="24" t="n">
        <v>46282</v>
      </c>
      <c r="E47" s="9" t="inlineStr">
        <is>
          <t>confirmed</t>
        </is>
      </c>
      <c r="F47" s="12" t="n">
        <v>7389375</v>
      </c>
      <c r="G47" s="9" t="inlineStr">
        <is>
          <t>IDR</t>
        </is>
      </c>
      <c r="H47" s="12" t="n">
        <v>886725</v>
      </c>
      <c r="I47" s="12" t="n">
        <v>0</v>
      </c>
      <c r="J47" s="9" t="inlineStr">
        <is>
          <t>OTA</t>
        </is>
      </c>
      <c r="K47" s="24" t="n">
        <v>46280</v>
      </c>
    </row>
    <row r="48">
      <c r="A48" s="9" t="inlineStr">
        <is>
          <t>R0047</t>
        </is>
      </c>
      <c r="B48" s="9" t="inlineStr">
        <is>
          <t>V008</t>
        </is>
      </c>
      <c r="C48" s="24" t="n">
        <v>46297</v>
      </c>
      <c r="D48" s="24" t="n">
        <v>46302</v>
      </c>
      <c r="E48" s="9" t="inlineStr">
        <is>
          <t>confirmed</t>
        </is>
      </c>
      <c r="F48" s="12" t="n">
        <v>12050287</v>
      </c>
      <c r="G48" s="9" t="inlineStr">
        <is>
          <t>IDR</t>
        </is>
      </c>
      <c r="H48" s="12" t="n">
        <v>1807543</v>
      </c>
      <c r="I48" s="12" t="n">
        <v>0</v>
      </c>
      <c r="J48" s="9" t="inlineStr">
        <is>
          <t>OTA</t>
        </is>
      </c>
      <c r="K48" s="24" t="n">
        <v>46280</v>
      </c>
    </row>
    <row r="49">
      <c r="A49" s="9" t="inlineStr">
        <is>
          <t>R0048</t>
        </is>
      </c>
      <c r="B49" s="9" t="inlineStr">
        <is>
          <t>V002</t>
        </is>
      </c>
      <c r="C49" s="24" t="n">
        <v>46305</v>
      </c>
      <c r="D49" s="24" t="n">
        <v>46313</v>
      </c>
      <c r="E49" s="9" t="inlineStr">
        <is>
          <t>confirmed</t>
        </is>
      </c>
      <c r="F49" s="12" t="n">
        <v>14520103</v>
      </c>
      <c r="G49" s="9" t="inlineStr">
        <is>
          <t>IDR</t>
        </is>
      </c>
      <c r="H49" s="12" t="n">
        <v>2468418</v>
      </c>
      <c r="I49" s="12" t="n">
        <v>0</v>
      </c>
      <c r="J49" s="9" t="inlineStr">
        <is>
          <t>OTA</t>
        </is>
      </c>
      <c r="K49" s="24" t="n">
        <v>46280</v>
      </c>
    </row>
    <row r="50">
      <c r="A50" s="9" t="inlineStr">
        <is>
          <t>R0049</t>
        </is>
      </c>
      <c r="B50" s="9" t="inlineStr">
        <is>
          <t>V018</t>
        </is>
      </c>
      <c r="C50" s="24" t="n">
        <v>46267</v>
      </c>
      <c r="D50" s="24" t="n">
        <v>46275</v>
      </c>
      <c r="E50" s="9" t="inlineStr">
        <is>
          <t>confirmed</t>
        </is>
      </c>
      <c r="F50" s="12" t="n">
        <v>13076960</v>
      </c>
      <c r="G50" s="9" t="inlineStr">
        <is>
          <t>IDR</t>
        </is>
      </c>
      <c r="H50" s="12" t="n">
        <v>1569235</v>
      </c>
      <c r="I50" s="12" t="n">
        <v>0</v>
      </c>
      <c r="J50" s="9" t="inlineStr">
        <is>
          <t>OTA</t>
        </is>
      </c>
      <c r="K50" s="24" t="n">
        <v>46280</v>
      </c>
    </row>
    <row r="51">
      <c r="A51" s="9" t="inlineStr">
        <is>
          <t>R0050</t>
        </is>
      </c>
      <c r="B51" s="9" t="inlineStr">
        <is>
          <t>V014</t>
        </is>
      </c>
      <c r="C51" s="24" t="n">
        <v>46317</v>
      </c>
      <c r="D51" s="24" t="n">
        <v>46322</v>
      </c>
      <c r="E51" s="9" t="inlineStr">
        <is>
          <t>confirmed</t>
        </is>
      </c>
      <c r="F51" s="12" t="n">
        <v>7909795</v>
      </c>
      <c r="G51" s="9" t="inlineStr">
        <is>
          <t>IDR</t>
        </is>
      </c>
      <c r="H51" s="12" t="n">
        <v>1186469</v>
      </c>
      <c r="I51" s="12" t="n">
        <v>0</v>
      </c>
      <c r="J51" s="9" t="inlineStr">
        <is>
          <t>Direct</t>
        </is>
      </c>
      <c r="K51" s="24" t="n">
        <v>46280</v>
      </c>
    </row>
    <row r="52">
      <c r="A52" s="9" t="inlineStr">
        <is>
          <t>R0051</t>
        </is>
      </c>
      <c r="B52" s="9" t="inlineStr">
        <is>
          <t>V019</t>
        </is>
      </c>
      <c r="C52" s="24" t="n">
        <v>46277</v>
      </c>
      <c r="D52" s="24" t="n">
        <v>46282</v>
      </c>
      <c r="E52" s="9" t="inlineStr">
        <is>
          <t>confirmed</t>
        </is>
      </c>
      <c r="F52" s="12" t="n">
        <v>2774229</v>
      </c>
      <c r="G52" s="9" t="inlineStr">
        <is>
          <t>IDR</t>
        </is>
      </c>
      <c r="H52" s="12" t="n">
        <v>332907</v>
      </c>
      <c r="I52" s="12" t="n">
        <v>0</v>
      </c>
      <c r="J52" s="9" t="inlineStr">
        <is>
          <t>OTA</t>
        </is>
      </c>
      <c r="K52" s="24" t="n">
        <v>46280</v>
      </c>
    </row>
    <row r="53">
      <c r="A53" s="9" t="inlineStr">
        <is>
          <t>R0052</t>
        </is>
      </c>
      <c r="B53" s="9" t="inlineStr">
        <is>
          <t>V006</t>
        </is>
      </c>
      <c r="C53" s="24" t="n">
        <v>46321</v>
      </c>
      <c r="D53" s="24" t="n">
        <v>46327</v>
      </c>
      <c r="E53" s="9" t="inlineStr">
        <is>
          <t>confirmed</t>
        </is>
      </c>
      <c r="F53" s="12" t="n">
        <v>11120294</v>
      </c>
      <c r="G53" s="9" t="inlineStr">
        <is>
          <t>IDR</t>
        </is>
      </c>
      <c r="H53" s="12" t="n">
        <v>1668044</v>
      </c>
      <c r="I53" s="12" t="n">
        <v>0</v>
      </c>
      <c r="J53" s="9" t="inlineStr">
        <is>
          <t>OTA</t>
        </is>
      </c>
      <c r="K53" s="24" t="n">
        <v>46280</v>
      </c>
    </row>
    <row r="54">
      <c r="A54" s="9" t="inlineStr">
        <is>
          <t>R0053</t>
        </is>
      </c>
      <c r="B54" s="9" t="inlineStr">
        <is>
          <t>V005</t>
        </is>
      </c>
      <c r="C54" s="24" t="n">
        <v>46267</v>
      </c>
      <c r="D54" s="24" t="n">
        <v>46274</v>
      </c>
      <c r="E54" s="9" t="inlineStr">
        <is>
          <t>confirmed</t>
        </is>
      </c>
      <c r="F54" s="12" t="n">
        <v>12400930</v>
      </c>
      <c r="G54" s="9" t="inlineStr">
        <is>
          <t>IDR</t>
        </is>
      </c>
      <c r="H54" s="12" t="n">
        <v>2108158</v>
      </c>
      <c r="I54" s="12" t="n">
        <v>0</v>
      </c>
      <c r="J54" s="9" t="inlineStr">
        <is>
          <t>OTA</t>
        </is>
      </c>
      <c r="K54" s="24" t="n">
        <v>46280</v>
      </c>
    </row>
    <row r="55">
      <c r="A55" s="9" t="inlineStr">
        <is>
          <t>R0054</t>
        </is>
      </c>
      <c r="B55" s="9" t="inlineStr">
        <is>
          <t>V013</t>
        </is>
      </c>
      <c r="C55" s="24" t="n">
        <v>46267</v>
      </c>
      <c r="D55" s="24" t="n">
        <v>46270</v>
      </c>
      <c r="E55" s="9" t="inlineStr">
        <is>
          <t>confirmed</t>
        </is>
      </c>
      <c r="F55" s="12" t="n">
        <v>7045271</v>
      </c>
      <c r="G55" s="9" t="inlineStr">
        <is>
          <t>IDR</t>
        </is>
      </c>
      <c r="H55" s="12" t="n">
        <v>1197696</v>
      </c>
      <c r="I55" s="12" t="n">
        <v>0</v>
      </c>
      <c r="J55" s="9" t="inlineStr">
        <is>
          <t>OTA</t>
        </is>
      </c>
      <c r="K55" s="24" t="n">
        <v>46280</v>
      </c>
    </row>
    <row r="56">
      <c r="A56" s="9" t="inlineStr">
        <is>
          <t>R0055</t>
        </is>
      </c>
      <c r="B56" s="9" t="inlineStr">
        <is>
          <t>V001</t>
        </is>
      </c>
      <c r="C56" s="24" t="n">
        <v>46301</v>
      </c>
      <c r="D56" s="24" t="n">
        <v>46309</v>
      </c>
      <c r="E56" s="9" t="inlineStr">
        <is>
          <t>confirmed</t>
        </is>
      </c>
      <c r="F56" s="12" t="n">
        <v>11317071</v>
      </c>
      <c r="G56" s="9" t="inlineStr">
        <is>
          <t>IDR</t>
        </is>
      </c>
      <c r="H56" s="12" t="n">
        <v>1923902</v>
      </c>
      <c r="I56" s="12" t="n">
        <v>0</v>
      </c>
      <c r="J56" s="9" t="inlineStr">
        <is>
          <t>Direct</t>
        </is>
      </c>
      <c r="K56" s="24" t="n">
        <v>46280</v>
      </c>
    </row>
    <row r="57">
      <c r="A57" s="9" t="inlineStr">
        <is>
          <t>R0056</t>
        </is>
      </c>
      <c r="B57" s="9" t="inlineStr">
        <is>
          <t>V008</t>
        </is>
      </c>
      <c r="C57" s="24" t="n">
        <v>46290</v>
      </c>
      <c r="D57" s="24" t="n">
        <v>46297</v>
      </c>
      <c r="E57" s="9" t="inlineStr">
        <is>
          <t>confirmed</t>
        </is>
      </c>
      <c r="F57" s="12" t="n">
        <v>5624162</v>
      </c>
      <c r="G57" s="9" t="inlineStr">
        <is>
          <t>IDR</t>
        </is>
      </c>
      <c r="H57" s="12" t="n">
        <v>674899</v>
      </c>
      <c r="I57" s="12" t="n">
        <v>0</v>
      </c>
      <c r="J57" s="9" t="inlineStr">
        <is>
          <t>OTA</t>
        </is>
      </c>
      <c r="K57" s="24" t="n">
        <v>46280</v>
      </c>
    </row>
    <row r="58">
      <c r="A58" s="9" t="inlineStr">
        <is>
          <t>R0057</t>
        </is>
      </c>
      <c r="B58" s="9" t="inlineStr">
        <is>
          <t>V017</t>
        </is>
      </c>
      <c r="C58" s="24" t="n">
        <v>46286</v>
      </c>
      <c r="D58" s="24" t="n">
        <v>46292</v>
      </c>
      <c r="E58" s="9" t="inlineStr">
        <is>
          <t>confirmed</t>
        </is>
      </c>
      <c r="F58" s="12" t="n">
        <v>11061328</v>
      </c>
      <c r="G58" s="9" t="inlineStr">
        <is>
          <t>IDR</t>
        </is>
      </c>
      <c r="H58" s="12" t="n">
        <v>1880426</v>
      </c>
      <c r="I58" s="12" t="n">
        <v>0</v>
      </c>
      <c r="J58" s="9" t="inlineStr">
        <is>
          <t>OTA</t>
        </is>
      </c>
      <c r="K58" s="24" t="n">
        <v>46280</v>
      </c>
    </row>
    <row r="59">
      <c r="A59" s="9" t="inlineStr">
        <is>
          <t>R0058</t>
        </is>
      </c>
      <c r="B59" s="9" t="inlineStr">
        <is>
          <t>V006</t>
        </is>
      </c>
      <c r="C59" s="24" t="n">
        <v>46297</v>
      </c>
      <c r="D59" s="24" t="n">
        <v>46299</v>
      </c>
      <c r="E59" s="9" t="inlineStr">
        <is>
          <t>confirmed</t>
        </is>
      </c>
      <c r="F59" s="12" t="n">
        <v>12026763</v>
      </c>
      <c r="G59" s="9" t="inlineStr">
        <is>
          <t>IDR</t>
        </is>
      </c>
      <c r="H59" s="12" t="n">
        <v>2044550</v>
      </c>
      <c r="I59" s="12" t="n">
        <v>0</v>
      </c>
      <c r="J59" s="9" t="inlineStr">
        <is>
          <t>OTA</t>
        </is>
      </c>
      <c r="K59" s="24" t="n">
        <v>46280</v>
      </c>
    </row>
    <row r="60">
      <c r="A60" s="9" t="inlineStr">
        <is>
          <t>R0059</t>
        </is>
      </c>
      <c r="B60" s="9" t="inlineStr">
        <is>
          <t>V002</t>
        </is>
      </c>
      <c r="C60" s="24" t="n">
        <v>46278</v>
      </c>
      <c r="D60" s="24" t="n">
        <v>46282</v>
      </c>
      <c r="E60" s="9" t="inlineStr">
        <is>
          <t>confirmed</t>
        </is>
      </c>
      <c r="F60" s="12" t="n">
        <v>5529743</v>
      </c>
      <c r="G60" s="9" t="inlineStr">
        <is>
          <t>IDR</t>
        </is>
      </c>
      <c r="H60" s="12" t="n">
        <v>829461</v>
      </c>
      <c r="I60" s="12" t="n">
        <v>0</v>
      </c>
      <c r="J60" s="9" t="inlineStr">
        <is>
          <t>OTA</t>
        </is>
      </c>
      <c r="K60" s="24" t="n">
        <v>46280</v>
      </c>
    </row>
    <row r="61">
      <c r="A61" s="9" t="inlineStr">
        <is>
          <t>R0060</t>
        </is>
      </c>
      <c r="B61" s="9" t="inlineStr">
        <is>
          <t>V016</t>
        </is>
      </c>
      <c r="C61" s="24" t="n">
        <v>46271</v>
      </c>
      <c r="D61" s="24" t="n">
        <v>46279</v>
      </c>
      <c r="E61" s="9" t="inlineStr">
        <is>
          <t>confirmed</t>
        </is>
      </c>
      <c r="F61" s="12" t="n">
        <v>13551414</v>
      </c>
      <c r="G61" s="9" t="inlineStr">
        <is>
          <t>IDR</t>
        </is>
      </c>
      <c r="H61" s="12" t="n">
        <v>2032712</v>
      </c>
      <c r="I61" s="12" t="n">
        <v>0</v>
      </c>
      <c r="J61" s="9" t="inlineStr">
        <is>
          <t>Direct</t>
        </is>
      </c>
      <c r="K61" s="24" t="n">
        <v>46280</v>
      </c>
    </row>
    <row r="62">
      <c r="A62" s="9" t="inlineStr">
        <is>
          <t>R0061</t>
        </is>
      </c>
      <c r="B62" s="9" t="inlineStr">
        <is>
          <t>V001</t>
        </is>
      </c>
      <c r="C62" s="24" t="n">
        <v>46311</v>
      </c>
      <c r="D62" s="24" t="n">
        <v>46315</v>
      </c>
      <c r="E62" s="9" t="inlineStr">
        <is>
          <t>confirmed</t>
        </is>
      </c>
      <c r="F62" s="12" t="n">
        <v>4280874</v>
      </c>
      <c r="G62" s="9" t="inlineStr">
        <is>
          <t>USD</t>
        </is>
      </c>
      <c r="H62" s="12" t="n">
        <v>642131</v>
      </c>
      <c r="I62" s="12" t="n">
        <v>0</v>
      </c>
      <c r="J62" s="9" t="inlineStr">
        <is>
          <t>OTA</t>
        </is>
      </c>
      <c r="K62" s="24" t="n">
        <v>46280</v>
      </c>
    </row>
    <row r="63">
      <c r="A63" s="9" t="inlineStr">
        <is>
          <t>R0062</t>
        </is>
      </c>
      <c r="B63" s="9" t="inlineStr">
        <is>
          <t>V013</t>
        </is>
      </c>
      <c r="C63" s="24" t="n">
        <v>46317</v>
      </c>
      <c r="D63" s="24" t="n">
        <v>46319</v>
      </c>
      <c r="E63" s="9" t="inlineStr">
        <is>
          <t>confirmed</t>
        </is>
      </c>
      <c r="F63" s="12" t="n">
        <v>11635679</v>
      </c>
      <c r="G63" s="9" t="inlineStr">
        <is>
          <t>IDR</t>
        </is>
      </c>
      <c r="H63" s="12" t="n">
        <v>1745352</v>
      </c>
      <c r="I63" s="12" t="n">
        <v>0</v>
      </c>
      <c r="J63" s="9" t="inlineStr">
        <is>
          <t>OTA</t>
        </is>
      </c>
      <c r="K63" s="24" t="n">
        <v>46280</v>
      </c>
    </row>
    <row r="64">
      <c r="A64" s="9" t="inlineStr">
        <is>
          <t>R0063</t>
        </is>
      </c>
      <c r="B64" s="9" t="inlineStr">
        <is>
          <t>V015</t>
        </is>
      </c>
      <c r="C64" s="24" t="n">
        <v>46314</v>
      </c>
      <c r="D64" s="24" t="n">
        <v>46321</v>
      </c>
      <c r="E64" s="9" t="inlineStr">
        <is>
          <t>confirmed</t>
        </is>
      </c>
      <c r="F64" s="12" t="n">
        <v>8744980</v>
      </c>
      <c r="G64" s="9" t="inlineStr">
        <is>
          <t>IDR</t>
        </is>
      </c>
      <c r="H64" s="12" t="n">
        <v>1486647</v>
      </c>
      <c r="I64" s="12" t="n">
        <v>0</v>
      </c>
      <c r="J64" s="9" t="inlineStr">
        <is>
          <t>OTA</t>
        </is>
      </c>
      <c r="K64" s="24" t="n">
        <v>46280</v>
      </c>
    </row>
    <row r="65">
      <c r="A65" s="9" t="inlineStr">
        <is>
          <t>R0064</t>
        </is>
      </c>
      <c r="B65" s="9" t="inlineStr">
        <is>
          <t>V006</t>
        </is>
      </c>
      <c r="C65" s="24" t="n">
        <v>46271</v>
      </c>
      <c r="D65" s="24" t="n">
        <v>46273</v>
      </c>
      <c r="E65" s="9" t="inlineStr">
        <is>
          <t>confirmed</t>
        </is>
      </c>
      <c r="F65" s="12" t="n">
        <v>8718000</v>
      </c>
      <c r="G65" s="9" t="inlineStr">
        <is>
          <t>IDR</t>
        </is>
      </c>
      <c r="H65" s="12" t="n">
        <v>1307700</v>
      </c>
      <c r="I65" s="12" t="n">
        <v>0</v>
      </c>
      <c r="J65" s="9" t="inlineStr">
        <is>
          <t>OTA</t>
        </is>
      </c>
      <c r="K65" s="24" t="n">
        <v>46280</v>
      </c>
    </row>
    <row r="66">
      <c r="A66" s="9" t="inlineStr">
        <is>
          <t>R0065</t>
        </is>
      </c>
      <c r="B66" s="9" t="inlineStr">
        <is>
          <t>V012</t>
        </is>
      </c>
      <c r="C66" s="24" t="n">
        <v>46276</v>
      </c>
      <c r="D66" s="24" t="n">
        <v>46284</v>
      </c>
      <c r="E66" s="9" t="inlineStr">
        <is>
          <t>confirmed</t>
        </is>
      </c>
      <c r="F66" s="12" t="n">
        <v>10171643</v>
      </c>
      <c r="G66" s="9" t="inlineStr">
        <is>
          <t>IDR</t>
        </is>
      </c>
      <c r="H66" s="12" t="n">
        <v>1220597</v>
      </c>
      <c r="I66" s="12" t="n">
        <v>0</v>
      </c>
      <c r="J66" s="9" t="inlineStr">
        <is>
          <t>Direct</t>
        </is>
      </c>
      <c r="K66" s="24" t="n">
        <v>46280</v>
      </c>
    </row>
    <row r="67">
      <c r="A67" s="9" t="inlineStr">
        <is>
          <t>R0066</t>
        </is>
      </c>
      <c r="B67" s="9" t="inlineStr">
        <is>
          <t>V009</t>
        </is>
      </c>
      <c r="C67" s="24" t="n">
        <v>46276</v>
      </c>
      <c r="D67" s="24" t="n">
        <v>46278</v>
      </c>
      <c r="E67" s="9" t="inlineStr">
        <is>
          <t>confirmed</t>
        </is>
      </c>
      <c r="F67" s="12" t="n">
        <v>3594864</v>
      </c>
      <c r="G67" s="9" t="inlineStr">
        <is>
          <t>IDR</t>
        </is>
      </c>
      <c r="H67" s="12" t="n">
        <v>431384</v>
      </c>
      <c r="I67" s="12" t="n">
        <v>0</v>
      </c>
      <c r="J67" s="9" t="inlineStr">
        <is>
          <t>OTA</t>
        </is>
      </c>
      <c r="K67" s="24" t="n">
        <v>46280</v>
      </c>
    </row>
    <row r="68">
      <c r="A68" s="9" t="inlineStr">
        <is>
          <t>R0067</t>
        </is>
      </c>
      <c r="B68" s="9" t="inlineStr">
        <is>
          <t>V011</t>
        </is>
      </c>
      <c r="C68" s="24" t="n">
        <v>46285</v>
      </c>
      <c r="D68" s="24" t="n">
        <v>46289</v>
      </c>
      <c r="E68" s="9" t="inlineStr">
        <is>
          <t>confirmed</t>
        </is>
      </c>
      <c r="F68" s="12" t="n">
        <v>7924759</v>
      </c>
      <c r="G68" s="9" t="inlineStr">
        <is>
          <t>IDR</t>
        </is>
      </c>
      <c r="H68" s="12" t="n">
        <v>950971</v>
      </c>
      <c r="I68" s="12" t="n">
        <v>0</v>
      </c>
      <c r="J68" s="9" t="inlineStr">
        <is>
          <t>OTA</t>
        </is>
      </c>
      <c r="K68" s="24" t="n">
        <v>46280</v>
      </c>
    </row>
    <row r="69">
      <c r="A69" s="9" t="inlineStr">
        <is>
          <t>R0068</t>
        </is>
      </c>
      <c r="B69" s="9" t="inlineStr">
        <is>
          <t>V007</t>
        </is>
      </c>
      <c r="C69" s="24" t="n">
        <v>46269</v>
      </c>
      <c r="D69" s="24" t="n">
        <v>46274</v>
      </c>
      <c r="E69" s="9" t="inlineStr">
        <is>
          <t>confirmed</t>
        </is>
      </c>
      <c r="F69" s="12" t="n">
        <v>14107676</v>
      </c>
      <c r="G69" s="9" t="inlineStr">
        <is>
          <t>IDR</t>
        </is>
      </c>
      <c r="H69" s="12" t="n">
        <v>1692921</v>
      </c>
      <c r="I69" s="12" t="n">
        <v>0</v>
      </c>
      <c r="J69" s="9" t="inlineStr">
        <is>
          <t>OTA</t>
        </is>
      </c>
      <c r="K69" s="24" t="n">
        <v>46280</v>
      </c>
    </row>
    <row r="70">
      <c r="A70" s="9" t="inlineStr">
        <is>
          <t>R0069</t>
        </is>
      </c>
      <c r="B70" s="9" t="inlineStr">
        <is>
          <t>V001</t>
        </is>
      </c>
      <c r="C70" s="24" t="n">
        <v>46275</v>
      </c>
      <c r="D70" s="24" t="n">
        <v>46282</v>
      </c>
      <c r="E70" s="9" t="inlineStr">
        <is>
          <t>confirmed</t>
        </is>
      </c>
      <c r="F70" s="12" t="n">
        <v>7120768</v>
      </c>
      <c r="G70" s="9" t="inlineStr">
        <is>
          <t>IDR</t>
        </is>
      </c>
      <c r="H70" s="12" t="n">
        <v>1210531</v>
      </c>
      <c r="I70" s="12" t="n">
        <v>0</v>
      </c>
      <c r="J70" s="9" t="inlineStr">
        <is>
          <t>OTA</t>
        </is>
      </c>
      <c r="K70" s="24" t="n">
        <v>46280</v>
      </c>
    </row>
    <row r="71">
      <c r="A71" s="9" t="inlineStr">
        <is>
          <t>R0070</t>
        </is>
      </c>
      <c r="B71" s="9" t="inlineStr">
        <is>
          <t>V009</t>
        </is>
      </c>
      <c r="C71" s="24" t="n">
        <v>46288</v>
      </c>
      <c r="D71" s="24" t="n">
        <v>46291</v>
      </c>
      <c r="E71" s="9" t="inlineStr">
        <is>
          <t>confirmed</t>
        </is>
      </c>
      <c r="F71" s="12" t="n">
        <v>10425210</v>
      </c>
      <c r="G71" s="9" t="inlineStr">
        <is>
          <t>IDR</t>
        </is>
      </c>
      <c r="H71" s="12" t="n">
        <v>1772286</v>
      </c>
      <c r="I71" s="12" t="n">
        <v>0</v>
      </c>
      <c r="J71" s="9" t="inlineStr">
        <is>
          <t>Direct</t>
        </is>
      </c>
      <c r="K71" s="24" t="n">
        <v>46280</v>
      </c>
    </row>
    <row r="72">
      <c r="A72" s="9" t="inlineStr">
        <is>
          <t>R0071</t>
        </is>
      </c>
      <c r="B72" s="9" t="inlineStr">
        <is>
          <t>V013</t>
        </is>
      </c>
      <c r="C72" s="24" t="n">
        <v>46296</v>
      </c>
      <c r="D72" s="24" t="n">
        <v>46303</v>
      </c>
      <c r="E72" s="9" t="inlineStr">
        <is>
          <t>confirmed</t>
        </is>
      </c>
      <c r="F72" s="12" t="n">
        <v>6736226</v>
      </c>
      <c r="G72" s="9" t="inlineStr">
        <is>
          <t>IDR</t>
        </is>
      </c>
      <c r="H72" s="12" t="n">
        <v>1145158</v>
      </c>
      <c r="I72" s="12" t="n">
        <v>0</v>
      </c>
      <c r="J72" s="9" t="inlineStr">
        <is>
          <t>OTA</t>
        </is>
      </c>
      <c r="K72" s="24" t="n">
        <v>46280</v>
      </c>
    </row>
    <row r="73">
      <c r="A73" s="9" t="inlineStr">
        <is>
          <t>R0072</t>
        </is>
      </c>
      <c r="B73" s="9" t="inlineStr">
        <is>
          <t>V020</t>
        </is>
      </c>
      <c r="C73" s="24" t="n">
        <v>46300</v>
      </c>
      <c r="D73" s="24" t="n">
        <v>46307</v>
      </c>
      <c r="E73" s="9" t="inlineStr">
        <is>
          <t>confirmed</t>
        </is>
      </c>
      <c r="F73" s="12" t="n">
        <v>7070068</v>
      </c>
      <c r="G73" s="9" t="inlineStr">
        <is>
          <t>IDR</t>
        </is>
      </c>
      <c r="H73" s="12" t="n">
        <v>1201912</v>
      </c>
      <c r="I73" s="12" t="n">
        <v>7970068</v>
      </c>
      <c r="J73" s="9" t="inlineStr">
        <is>
          <t>OTA</t>
        </is>
      </c>
      <c r="K73" s="24" t="n">
        <v>46280</v>
      </c>
    </row>
    <row r="74">
      <c r="A74" s="9" t="inlineStr">
        <is>
          <t>R0073</t>
        </is>
      </c>
      <c r="B74" s="9" t="inlineStr">
        <is>
          <t>V006</t>
        </is>
      </c>
      <c r="C74" s="24" t="n">
        <v>46281</v>
      </c>
      <c r="D74" s="24" t="n">
        <v>46289</v>
      </c>
      <c r="E74" s="9" t="inlineStr">
        <is>
          <t>confirmed</t>
        </is>
      </c>
      <c r="F74" s="12" t="n">
        <v>2927999</v>
      </c>
      <c r="G74" s="9" t="inlineStr">
        <is>
          <t>IDR</t>
        </is>
      </c>
      <c r="H74" s="12" t="n">
        <v>439200</v>
      </c>
      <c r="I74" s="12" t="n">
        <v>0</v>
      </c>
      <c r="J74" s="9" t="inlineStr">
        <is>
          <t>OTA</t>
        </is>
      </c>
      <c r="K74" s="24" t="n">
        <v>46280</v>
      </c>
    </row>
    <row r="75">
      <c r="A75" s="9" t="inlineStr">
        <is>
          <t>R0074</t>
        </is>
      </c>
      <c r="B75" s="9" t="inlineStr">
        <is>
          <t>V017</t>
        </is>
      </c>
      <c r="C75" s="24" t="n">
        <v>46269</v>
      </c>
      <c r="D75" s="24" t="n">
        <v>46272</v>
      </c>
      <c r="E75" s="9" t="inlineStr">
        <is>
          <t>confirmed</t>
        </is>
      </c>
      <c r="F75" s="12" t="n">
        <v>13655603</v>
      </c>
      <c r="G75" s="9" t="inlineStr">
        <is>
          <t>IDR</t>
        </is>
      </c>
      <c r="H75" s="12" t="n">
        <v>2048340</v>
      </c>
      <c r="I75" s="12" t="n">
        <v>0</v>
      </c>
      <c r="J75" s="9" t="inlineStr">
        <is>
          <t>OTA</t>
        </is>
      </c>
      <c r="K75" s="24" t="n">
        <v>46280</v>
      </c>
    </row>
    <row r="76">
      <c r="A76" s="9" t="inlineStr">
        <is>
          <t>R0075</t>
        </is>
      </c>
      <c r="B76" s="9" t="inlineStr">
        <is>
          <t>V010</t>
        </is>
      </c>
      <c r="C76" s="24" t="n">
        <v>46284</v>
      </c>
      <c r="D76" s="24" t="n">
        <v>46288</v>
      </c>
      <c r="E76" s="9" t="inlineStr">
        <is>
          <t>confirmed</t>
        </is>
      </c>
      <c r="F76" s="12" t="n">
        <v>7403313</v>
      </c>
      <c r="G76" s="9" t="inlineStr">
        <is>
          <t>IDR</t>
        </is>
      </c>
      <c r="H76" s="12" t="n">
        <v>1110497</v>
      </c>
      <c r="I76" s="12" t="n">
        <v>0</v>
      </c>
      <c r="J76" s="9" t="inlineStr">
        <is>
          <t>Direct</t>
        </is>
      </c>
      <c r="K76" s="24" t="n">
        <v>46280</v>
      </c>
    </row>
    <row r="77">
      <c r="A77" s="9" t="inlineStr">
        <is>
          <t>R0076</t>
        </is>
      </c>
      <c r="B77" s="9" t="inlineStr">
        <is>
          <t>V010</t>
        </is>
      </c>
      <c r="C77" s="24" t="n">
        <v>46271</v>
      </c>
      <c r="D77" s="24" t="n">
        <v>46273</v>
      </c>
      <c r="E77" s="9" t="inlineStr">
        <is>
          <t>confirmed</t>
        </is>
      </c>
      <c r="F77" s="12" t="n">
        <v>6934671</v>
      </c>
      <c r="G77" s="9" t="inlineStr">
        <is>
          <t>IDR</t>
        </is>
      </c>
      <c r="H77" s="12" t="n">
        <v>1178894</v>
      </c>
      <c r="I77" s="12" t="n">
        <v>0</v>
      </c>
      <c r="J77" s="9" t="inlineStr">
        <is>
          <t>OTA</t>
        </is>
      </c>
      <c r="K77" s="24" t="n">
        <v>46280</v>
      </c>
    </row>
    <row r="78">
      <c r="A78" s="9" t="inlineStr">
        <is>
          <t>R0077</t>
        </is>
      </c>
      <c r="B78" s="9" t="inlineStr">
        <is>
          <t>V010</t>
        </is>
      </c>
      <c r="C78" s="24" t="n">
        <v>46275</v>
      </c>
      <c r="D78" s="24" t="n">
        <v>46280</v>
      </c>
      <c r="E78" s="9" t="inlineStr">
        <is>
          <t>confirmed</t>
        </is>
      </c>
      <c r="F78" s="12" t="n">
        <v>11635626</v>
      </c>
      <c r="G78" s="9" t="inlineStr">
        <is>
          <t>IDR</t>
        </is>
      </c>
      <c r="H78" s="12" t="n">
        <v>1978056</v>
      </c>
      <c r="I78" s="12" t="n">
        <v>0</v>
      </c>
      <c r="J78" s="9" t="inlineStr">
        <is>
          <t>OTA</t>
        </is>
      </c>
      <c r="K78" s="24" t="n">
        <v>46280</v>
      </c>
    </row>
    <row r="79">
      <c r="A79" s="9" t="inlineStr">
        <is>
          <t>R0078</t>
        </is>
      </c>
      <c r="B79" s="9" t="inlineStr">
        <is>
          <t>V001</t>
        </is>
      </c>
      <c r="C79" s="24" t="n">
        <v>46289</v>
      </c>
      <c r="D79" s="24" t="n">
        <v>46296</v>
      </c>
      <c r="E79" s="9" t="inlineStr">
        <is>
          <t>confirmed</t>
        </is>
      </c>
      <c r="F79" s="12" t="n">
        <v>6420203</v>
      </c>
      <c r="G79" s="9" t="inlineStr">
        <is>
          <t>IDR</t>
        </is>
      </c>
      <c r="H79" s="12" t="n">
        <v>963030</v>
      </c>
      <c r="I79" s="12" t="n">
        <v>0</v>
      </c>
      <c r="J79" s="9" t="inlineStr">
        <is>
          <t>OTA</t>
        </is>
      </c>
      <c r="K79" s="24" t="n">
        <v>46280</v>
      </c>
    </row>
    <row r="80">
      <c r="A80" s="9" t="inlineStr">
        <is>
          <t>R0079</t>
        </is>
      </c>
      <c r="B80" s="9" t="inlineStr">
        <is>
          <t>V014</t>
        </is>
      </c>
      <c r="C80" s="24" t="n">
        <v>46304</v>
      </c>
      <c r="D80" s="24" t="n">
        <v>46311</v>
      </c>
      <c r="E80" s="9" t="inlineStr">
        <is>
          <t>confirmed</t>
        </is>
      </c>
      <c r="F80" s="12" t="n">
        <v>10052318</v>
      </c>
      <c r="G80" s="9" t="inlineStr">
        <is>
          <t>IDR</t>
        </is>
      </c>
      <c r="H80" s="12" t="n">
        <v>1507848</v>
      </c>
      <c r="I80" s="12" t="n">
        <v>0</v>
      </c>
      <c r="J80" s="9" t="inlineStr">
        <is>
          <t>OTA</t>
        </is>
      </c>
      <c r="K80" s="24" t="n">
        <v>46280</v>
      </c>
    </row>
    <row r="81">
      <c r="A81" s="9" t="inlineStr">
        <is>
          <t>R0080</t>
        </is>
      </c>
      <c r="B81" s="9" t="inlineStr">
        <is>
          <t>V008</t>
        </is>
      </c>
      <c r="C81" s="24" t="n">
        <v>46268</v>
      </c>
      <c r="D81" s="24" t="n">
        <v>46276</v>
      </c>
      <c r="E81" s="9" t="inlineStr">
        <is>
          <t>confirmed</t>
        </is>
      </c>
      <c r="F81" s="12" t="n">
        <v>5900495</v>
      </c>
      <c r="G81" s="9" t="inlineStr">
        <is>
          <t>IDR</t>
        </is>
      </c>
      <c r="H81" s="12" t="n">
        <v>708059</v>
      </c>
      <c r="I81" s="12" t="n">
        <v>0</v>
      </c>
      <c r="J81" s="9" t="inlineStr">
        <is>
          <t>Direct</t>
        </is>
      </c>
      <c r="K81" s="24" t="n">
        <v>46280</v>
      </c>
    </row>
    <row r="82">
      <c r="A82" s="9" t="inlineStr">
        <is>
          <t>R0081</t>
        </is>
      </c>
      <c r="B82" s="9" t="inlineStr">
        <is>
          <t>V010</t>
        </is>
      </c>
      <c r="C82" s="24" t="n">
        <v>46305</v>
      </c>
      <c r="D82" s="24" t="n">
        <v>46309</v>
      </c>
      <c r="E82" s="9" t="inlineStr">
        <is>
          <t>confirmed</t>
        </is>
      </c>
      <c r="F82" s="12" t="n">
        <v>2856094</v>
      </c>
      <c r="G82" s="9" t="inlineStr">
        <is>
          <t>IDR</t>
        </is>
      </c>
      <c r="H82" s="12" t="n">
        <v>342731</v>
      </c>
      <c r="I82" s="12" t="n">
        <v>0</v>
      </c>
      <c r="J82" s="9" t="inlineStr">
        <is>
          <t>OTA</t>
        </is>
      </c>
      <c r="K82" s="24" t="n">
        <v>46280</v>
      </c>
    </row>
    <row r="83">
      <c r="A83" s="9" t="inlineStr">
        <is>
          <t>R0082</t>
        </is>
      </c>
      <c r="B83" s="9" t="inlineStr">
        <is>
          <t>V016</t>
        </is>
      </c>
      <c r="C83" s="24" t="n">
        <v>46292</v>
      </c>
      <c r="D83" s="24" t="n">
        <v>46299</v>
      </c>
      <c r="E83" s="9" t="inlineStr">
        <is>
          <t>confirmed</t>
        </is>
      </c>
      <c r="F83" s="12" t="n">
        <v>3978391</v>
      </c>
      <c r="G83" s="9" t="inlineStr">
        <is>
          <t>IDR</t>
        </is>
      </c>
      <c r="H83" s="12" t="n">
        <v>676326</v>
      </c>
      <c r="I83" s="12" t="n">
        <v>0</v>
      </c>
      <c r="J83" s="9" t="inlineStr">
        <is>
          <t>OTA</t>
        </is>
      </c>
      <c r="K83" s="24" t="n">
        <v>46280</v>
      </c>
    </row>
    <row r="84">
      <c r="A84" s="9" t="inlineStr">
        <is>
          <t>R0083</t>
        </is>
      </c>
      <c r="B84" s="9" t="inlineStr">
        <is>
          <t>V019</t>
        </is>
      </c>
      <c r="C84" s="24" t="n">
        <v>46301</v>
      </c>
      <c r="D84" s="24" t="n">
        <v>46306</v>
      </c>
      <c r="E84" s="9" t="inlineStr">
        <is>
          <t>confirmed</t>
        </is>
      </c>
      <c r="F84" s="12" t="n">
        <v>12934571</v>
      </c>
      <c r="G84" s="9" t="inlineStr">
        <is>
          <t>IDR</t>
        </is>
      </c>
      <c r="H84" s="12" t="n">
        <v>1552149</v>
      </c>
      <c r="I84" s="12" t="n">
        <v>0</v>
      </c>
      <c r="J84" s="9" t="inlineStr">
        <is>
          <t>OTA</t>
        </is>
      </c>
      <c r="K84" s="24" t="n">
        <v>46280</v>
      </c>
    </row>
    <row r="85">
      <c r="A85" s="9" t="inlineStr">
        <is>
          <t>R0084</t>
        </is>
      </c>
      <c r="B85" s="9" t="inlineStr">
        <is>
          <t>V004</t>
        </is>
      </c>
      <c r="C85" s="24" t="n">
        <v>46306</v>
      </c>
      <c r="D85" s="24" t="n">
        <v>46311</v>
      </c>
      <c r="E85" s="9" t="inlineStr">
        <is>
          <t>confirmed</t>
        </is>
      </c>
      <c r="F85" s="12" t="n">
        <v>10172439</v>
      </c>
      <c r="G85" s="9" t="inlineStr">
        <is>
          <t>IDR</t>
        </is>
      </c>
      <c r="H85" s="12" t="n">
        <v>1729315</v>
      </c>
      <c r="I85" s="12" t="n">
        <v>0</v>
      </c>
      <c r="J85" s="9" t="inlineStr">
        <is>
          <t>OTA</t>
        </is>
      </c>
      <c r="K85" s="24" t="n">
        <v>46280</v>
      </c>
    </row>
    <row r="86">
      <c r="A86" s="9" t="inlineStr">
        <is>
          <t>R0085</t>
        </is>
      </c>
      <c r="B86" s="9" t="inlineStr">
        <is>
          <t>V003</t>
        </is>
      </c>
      <c r="C86" s="24" t="n">
        <v>46301</v>
      </c>
      <c r="D86" s="24" t="n">
        <v>46308</v>
      </c>
      <c r="E86" s="9" t="inlineStr">
        <is>
          <t>confirmed</t>
        </is>
      </c>
      <c r="F86" s="12" t="n">
        <v>14058734</v>
      </c>
      <c r="G86" s="9" t="inlineStr">
        <is>
          <t>IDR</t>
        </is>
      </c>
      <c r="H86" s="12" t="n">
        <v>1687048</v>
      </c>
      <c r="I86" s="12" t="n">
        <v>0</v>
      </c>
      <c r="J86" s="9" t="inlineStr">
        <is>
          <t>Direct</t>
        </is>
      </c>
      <c r="K86" s="24" t="n">
        <v>46280</v>
      </c>
    </row>
    <row r="87">
      <c r="A87" s="9" t="inlineStr">
        <is>
          <t>R0086</t>
        </is>
      </c>
      <c r="B87" s="9" t="inlineStr">
        <is>
          <t>V001</t>
        </is>
      </c>
      <c r="C87" s="24" t="n">
        <v>46271</v>
      </c>
      <c r="D87" s="24" t="n">
        <v>46278</v>
      </c>
      <c r="E87" s="9" t="inlineStr">
        <is>
          <t>confirmed</t>
        </is>
      </c>
      <c r="F87" s="12" t="n">
        <v>12024847</v>
      </c>
      <c r="G87" s="9" t="inlineStr">
        <is>
          <t>IDR</t>
        </is>
      </c>
      <c r="H87" s="12" t="n">
        <v>1803727</v>
      </c>
      <c r="I87" s="12" t="n">
        <v>0</v>
      </c>
      <c r="J87" s="9" t="inlineStr">
        <is>
          <t>OTA</t>
        </is>
      </c>
      <c r="K87" s="24" t="n">
        <v>46280</v>
      </c>
    </row>
    <row r="88">
      <c r="A88" s="9" t="inlineStr">
        <is>
          <t>R0087</t>
        </is>
      </c>
      <c r="B88" s="9" t="inlineStr">
        <is>
          <t>V015</t>
        </is>
      </c>
      <c r="C88" s="24" t="n">
        <v>46293</v>
      </c>
      <c r="D88" s="24" t="n">
        <v>46298</v>
      </c>
      <c r="E88" s="9" t="inlineStr">
        <is>
          <t>confirmed</t>
        </is>
      </c>
      <c r="F88" s="12" t="n">
        <v>7036912</v>
      </c>
      <c r="G88" s="9" t="inlineStr">
        <is>
          <t>IDR</t>
        </is>
      </c>
      <c r="H88" s="12" t="n">
        <v>844429</v>
      </c>
      <c r="I88" s="12" t="n">
        <v>0</v>
      </c>
      <c r="J88" s="9" t="inlineStr">
        <is>
          <t>OTA</t>
        </is>
      </c>
      <c r="K88" s="24" t="n">
        <v>46280</v>
      </c>
    </row>
    <row r="89">
      <c r="A89" s="9" t="inlineStr">
        <is>
          <t>R0088</t>
        </is>
      </c>
      <c r="B89" s="9" t="inlineStr">
        <is>
          <t>V005</t>
        </is>
      </c>
      <c r="C89" s="24" t="n">
        <v>46305</v>
      </c>
      <c r="D89" s="24" t="n">
        <v>46313</v>
      </c>
      <c r="E89" s="9" t="inlineStr">
        <is>
          <t>confirmed</t>
        </is>
      </c>
      <c r="F89" s="12" t="n">
        <v>12860413</v>
      </c>
      <c r="G89" s="9" t="inlineStr">
        <is>
          <t>IDR</t>
        </is>
      </c>
      <c r="H89" s="12" t="n">
        <v>2186270</v>
      </c>
      <c r="I89" s="12" t="n">
        <v>0</v>
      </c>
      <c r="J89" s="9" t="inlineStr">
        <is>
          <t>OTA</t>
        </is>
      </c>
      <c r="K89" s="24" t="n">
        <v>46280</v>
      </c>
    </row>
    <row r="90">
      <c r="A90" s="9" t="inlineStr">
        <is>
          <t>R0089</t>
        </is>
      </c>
      <c r="B90" s="9" t="inlineStr">
        <is>
          <t>V003</t>
        </is>
      </c>
      <c r="C90" s="24" t="n">
        <v>46318</v>
      </c>
      <c r="D90" s="24" t="n">
        <v>46326</v>
      </c>
      <c r="E90" s="9" t="inlineStr">
        <is>
          <t>confirmed</t>
        </is>
      </c>
      <c r="F90" s="12" t="n">
        <v>11516075</v>
      </c>
      <c r="G90" s="9" t="inlineStr">
        <is>
          <t>IDR</t>
        </is>
      </c>
      <c r="H90" s="12" t="n">
        <v>1727411</v>
      </c>
      <c r="I90" s="12" t="n">
        <v>0</v>
      </c>
      <c r="J90" s="9" t="inlineStr">
        <is>
          <t>OTA</t>
        </is>
      </c>
      <c r="K90" s="24" t="n">
        <v>46280</v>
      </c>
    </row>
    <row r="91">
      <c r="A91" s="9" t="inlineStr">
        <is>
          <t>R0090</t>
        </is>
      </c>
      <c r="B91" s="9" t="inlineStr">
        <is>
          <t>V013</t>
        </is>
      </c>
      <c r="C91" s="24" t="n">
        <v>46288</v>
      </c>
      <c r="D91" s="24" t="n">
        <v>46293</v>
      </c>
      <c r="E91" s="9" t="inlineStr">
        <is>
          <t>confirmed</t>
        </is>
      </c>
      <c r="F91" s="12" t="n">
        <v>5851243</v>
      </c>
      <c r="G91" s="9" t="inlineStr">
        <is>
          <t>IDR</t>
        </is>
      </c>
      <c r="H91" s="12" t="n">
        <v>877686</v>
      </c>
      <c r="I91" s="12" t="n">
        <v>0</v>
      </c>
      <c r="J91" s="9" t="inlineStr">
        <is>
          <t>Direct</t>
        </is>
      </c>
      <c r="K91" s="24" t="n">
        <v>46280</v>
      </c>
    </row>
    <row r="92">
      <c r="A92" s="9" t="inlineStr">
        <is>
          <t>R0091</t>
        </is>
      </c>
      <c r="B92" s="9" t="inlineStr">
        <is>
          <t>V019</t>
        </is>
      </c>
      <c r="C92" s="24" t="n">
        <v>46271</v>
      </c>
      <c r="D92" s="24" t="n">
        <v>46279</v>
      </c>
      <c r="E92" s="9" t="inlineStr">
        <is>
          <t>confirmed</t>
        </is>
      </c>
      <c r="F92" s="12" t="n">
        <v>11220483</v>
      </c>
      <c r="G92" s="9" t="inlineStr">
        <is>
          <t>IDR</t>
        </is>
      </c>
      <c r="H92" s="12" t="n">
        <v>1907482</v>
      </c>
      <c r="I92" s="12" t="n">
        <v>0</v>
      </c>
      <c r="J92" s="9" t="inlineStr">
        <is>
          <t>OTA</t>
        </is>
      </c>
      <c r="K92" s="24" t="n">
        <v>46310</v>
      </c>
    </row>
    <row r="93">
      <c r="A93" s="9" t="inlineStr">
        <is>
          <t>R0092</t>
        </is>
      </c>
      <c r="B93" s="9" t="inlineStr">
        <is>
          <t>V017</t>
        </is>
      </c>
      <c r="C93" s="24" t="n">
        <v>46276</v>
      </c>
      <c r="D93" s="24" t="n">
        <v>46283</v>
      </c>
      <c r="E93" s="9" t="inlineStr">
        <is>
          <t>confirmed</t>
        </is>
      </c>
      <c r="F93" s="12" t="n">
        <v>14123451</v>
      </c>
      <c r="G93" s="9" t="inlineStr">
        <is>
          <t>IDR</t>
        </is>
      </c>
      <c r="H93" s="12" t="n">
        <v>2118518</v>
      </c>
      <c r="I93" s="12" t="n">
        <v>0</v>
      </c>
      <c r="J93" s="9" t="inlineStr">
        <is>
          <t>OTA</t>
        </is>
      </c>
      <c r="K93" s="24" t="n">
        <v>46310</v>
      </c>
    </row>
    <row r="94">
      <c r="A94" s="9" t="inlineStr">
        <is>
          <t>R0093</t>
        </is>
      </c>
      <c r="B94" s="9" t="inlineStr">
        <is>
          <t>V007</t>
        </is>
      </c>
      <c r="C94" s="24" t="n">
        <v>46277</v>
      </c>
      <c r="D94" s="24" t="n">
        <v>46284</v>
      </c>
      <c r="E94" s="9" t="inlineStr">
        <is>
          <t>confirmed</t>
        </is>
      </c>
      <c r="F94" s="12" t="n">
        <v>7023077</v>
      </c>
      <c r="G94" s="9" t="inlineStr">
        <is>
          <t>IDR</t>
        </is>
      </c>
      <c r="H94" s="12" t="n">
        <v>1053462</v>
      </c>
      <c r="I94" s="12" t="n">
        <v>0</v>
      </c>
      <c r="J94" s="9" t="inlineStr">
        <is>
          <t>OTA</t>
        </is>
      </c>
      <c r="K94" s="24" t="n">
        <v>46310</v>
      </c>
    </row>
    <row r="95">
      <c r="A95" s="9" t="inlineStr">
        <is>
          <t>R0094</t>
        </is>
      </c>
      <c r="B95" s="9" t="inlineStr">
        <is>
          <t>V016</t>
        </is>
      </c>
      <c r="C95" s="24" t="n">
        <v>46297</v>
      </c>
      <c r="D95" s="24" t="n">
        <v>46304</v>
      </c>
      <c r="E95" s="9" t="inlineStr">
        <is>
          <t>confirmed</t>
        </is>
      </c>
      <c r="F95" s="12" t="n">
        <v>3980954</v>
      </c>
      <c r="G95" s="9" t="inlineStr">
        <is>
          <t>IDR</t>
        </is>
      </c>
      <c r="H95" s="12" t="n">
        <v>477714</v>
      </c>
      <c r="I95" s="12" t="n">
        <v>0</v>
      </c>
      <c r="J95" s="9" t="inlineStr">
        <is>
          <t>OTA</t>
        </is>
      </c>
      <c r="K95" s="24" t="n">
        <v>46310</v>
      </c>
    </row>
    <row r="96">
      <c r="A96" s="9" t="inlineStr">
        <is>
          <t>R0095</t>
        </is>
      </c>
      <c r="B96" s="9" t="inlineStr">
        <is>
          <t>V017</t>
        </is>
      </c>
      <c r="C96" s="24" t="n">
        <v>46280</v>
      </c>
      <c r="D96" s="24" t="n">
        <v>46283</v>
      </c>
      <c r="E96" s="9" t="inlineStr">
        <is>
          <t>confirmed</t>
        </is>
      </c>
      <c r="F96" s="12" t="n">
        <v>2936935</v>
      </c>
      <c r="G96" s="9" t="inlineStr">
        <is>
          <t>IDR</t>
        </is>
      </c>
      <c r="H96" s="12" t="n">
        <v>499279</v>
      </c>
      <c r="I96" s="12" t="n">
        <v>0</v>
      </c>
      <c r="J96" s="9" t="inlineStr">
        <is>
          <t>Direct</t>
        </is>
      </c>
      <c r="K96" s="24" t="n">
        <v>46310</v>
      </c>
    </row>
    <row r="97">
      <c r="A97" s="9" t="inlineStr">
        <is>
          <t>R0096</t>
        </is>
      </c>
      <c r="B97" s="9" t="inlineStr">
        <is>
          <t>V003</t>
        </is>
      </c>
      <c r="C97" s="24" t="n">
        <v>46271</v>
      </c>
      <c r="D97" s="24" t="n">
        <v>46279</v>
      </c>
      <c r="E97" s="9" t="inlineStr">
        <is>
          <t>confirmed</t>
        </is>
      </c>
      <c r="F97" s="12" t="n">
        <v>7008445</v>
      </c>
      <c r="G97" s="9" t="inlineStr">
        <is>
          <t>IDR</t>
        </is>
      </c>
      <c r="H97" s="12" t="n">
        <v>1051267</v>
      </c>
      <c r="I97" s="12" t="n">
        <v>0</v>
      </c>
      <c r="J97" s="9" t="inlineStr">
        <is>
          <t>OTA</t>
        </is>
      </c>
      <c r="K97" s="24" t="n">
        <v>46310</v>
      </c>
    </row>
    <row r="98">
      <c r="A98" s="9" t="inlineStr">
        <is>
          <t>R0097</t>
        </is>
      </c>
      <c r="B98" s="9" t="inlineStr">
        <is>
          <t>V008</t>
        </is>
      </c>
      <c r="C98" s="24" t="n">
        <v>46321</v>
      </c>
      <c r="D98" s="24" t="n">
        <v>46324</v>
      </c>
      <c r="E98" s="9" t="inlineStr">
        <is>
          <t>confirmed</t>
        </is>
      </c>
      <c r="F98" s="12" t="n">
        <v>4660661</v>
      </c>
      <c r="G98" s="9" t="inlineStr">
        <is>
          <t>IDR</t>
        </is>
      </c>
      <c r="H98" s="12" t="n">
        <v>699099</v>
      </c>
      <c r="I98" s="12" t="n">
        <v>0</v>
      </c>
      <c r="J98" s="9" t="inlineStr">
        <is>
          <t>OTA</t>
        </is>
      </c>
      <c r="K98" s="24" t="n">
        <v>46310</v>
      </c>
    </row>
    <row r="99">
      <c r="A99" s="9" t="inlineStr">
        <is>
          <t>R0098</t>
        </is>
      </c>
      <c r="B99" s="9" t="inlineStr">
        <is>
          <t>V005</t>
        </is>
      </c>
      <c r="C99" s="24" t="n">
        <v>46276</v>
      </c>
      <c r="D99" s="24" t="n">
        <v>46280</v>
      </c>
      <c r="E99" s="9" t="inlineStr">
        <is>
          <t>confirmed</t>
        </is>
      </c>
      <c r="F99" s="12" t="n">
        <v>12291981</v>
      </c>
      <c r="G99" s="9" t="inlineStr">
        <is>
          <t>IDR</t>
        </is>
      </c>
      <c r="H99" s="12" t="n">
        <v>1475038</v>
      </c>
      <c r="I99" s="12" t="n">
        <v>0</v>
      </c>
      <c r="J99" s="9" t="inlineStr">
        <is>
          <t>OTA</t>
        </is>
      </c>
      <c r="K99" s="24" t="n">
        <v>46310</v>
      </c>
    </row>
    <row r="100">
      <c r="A100" s="9" t="inlineStr">
        <is>
          <t>R0099</t>
        </is>
      </c>
      <c r="B100" s="9" t="inlineStr">
        <is>
          <t>V016</t>
        </is>
      </c>
      <c r="C100" s="24" t="n">
        <v>46271</v>
      </c>
      <c r="D100" s="24" t="n">
        <v>46273</v>
      </c>
      <c r="E100" s="9" t="inlineStr">
        <is>
          <t>confirmed</t>
        </is>
      </c>
      <c r="F100" s="12" t="n">
        <v>3723650</v>
      </c>
      <c r="G100" s="9" t="inlineStr">
        <is>
          <t>IDR</t>
        </is>
      </c>
      <c r="H100" s="12" t="n">
        <v>633020</v>
      </c>
      <c r="I100" s="12" t="n">
        <v>0</v>
      </c>
      <c r="J100" s="9" t="inlineStr">
        <is>
          <t>OTA</t>
        </is>
      </c>
      <c r="K100" s="24" t="n">
        <v>46310</v>
      </c>
    </row>
    <row r="101">
      <c r="A101" s="9" t="inlineStr">
        <is>
          <t>R0100</t>
        </is>
      </c>
      <c r="B101" s="9" t="inlineStr">
        <is>
          <t>V004</t>
        </is>
      </c>
      <c r="C101" s="24" t="n">
        <v>46316</v>
      </c>
      <c r="D101" s="24" t="n">
        <v>46320</v>
      </c>
      <c r="E101" s="9" t="inlineStr">
        <is>
          <t>confirmed</t>
        </is>
      </c>
      <c r="F101" s="12" t="n">
        <v>13367197</v>
      </c>
      <c r="G101" s="9" t="inlineStr">
        <is>
          <t>IDR</t>
        </is>
      </c>
      <c r="H101" s="12" t="n">
        <v>1604064</v>
      </c>
      <c r="I101" s="12" t="n">
        <v>0</v>
      </c>
      <c r="J101" s="9" t="inlineStr">
        <is>
          <t>Direct</t>
        </is>
      </c>
      <c r="K101" s="24" t="n">
        <v>46310</v>
      </c>
    </row>
    <row r="102">
      <c r="A102" s="9" t="inlineStr">
        <is>
          <t>R0101</t>
        </is>
      </c>
      <c r="B102" s="9" t="inlineStr">
        <is>
          <t>V003</t>
        </is>
      </c>
      <c r="C102" s="24" t="n">
        <v>46278</v>
      </c>
      <c r="D102" s="24" t="n">
        <v>46282</v>
      </c>
      <c r="E102" s="9" t="inlineStr">
        <is>
          <t>confirmed</t>
        </is>
      </c>
      <c r="F102" s="12" t="n">
        <v>8619671</v>
      </c>
      <c r="G102" s="9" t="inlineStr">
        <is>
          <t>IDR</t>
        </is>
      </c>
      <c r="H102" s="12" t="n">
        <v>1034361</v>
      </c>
      <c r="I102" s="12" t="n">
        <v>0</v>
      </c>
      <c r="J102" s="9" t="inlineStr">
        <is>
          <t>OTA</t>
        </is>
      </c>
      <c r="K102" s="24" t="n">
        <v>46310</v>
      </c>
    </row>
    <row r="103">
      <c r="A103" s="9" t="inlineStr">
        <is>
          <t>R0102</t>
        </is>
      </c>
      <c r="B103" s="9" t="inlineStr">
        <is>
          <t>V003</t>
        </is>
      </c>
      <c r="C103" s="24" t="n">
        <v>46275</v>
      </c>
      <c r="D103" s="24" t="n">
        <v>46279</v>
      </c>
      <c r="E103" s="9" t="inlineStr">
        <is>
          <t>confirmed</t>
        </is>
      </c>
      <c r="F103" s="12" t="n">
        <v>3898667</v>
      </c>
      <c r="G103" s="9" t="inlineStr">
        <is>
          <t>IDR</t>
        </is>
      </c>
      <c r="H103" s="12" t="n">
        <v>-100000</v>
      </c>
      <c r="I103" s="12" t="n">
        <v>0</v>
      </c>
      <c r="J103" s="9" t="inlineStr">
        <is>
          <t>OTA</t>
        </is>
      </c>
      <c r="K103" s="24" t="n">
        <v>46310</v>
      </c>
    </row>
    <row r="104">
      <c r="A104" s="9" t="inlineStr">
        <is>
          <t>R0103</t>
        </is>
      </c>
      <c r="B104" s="9" t="inlineStr">
        <is>
          <t>V003</t>
        </is>
      </c>
      <c r="C104" s="24" t="n">
        <v>46277</v>
      </c>
      <c r="D104" s="24" t="n">
        <v>46284</v>
      </c>
      <c r="E104" s="9" t="inlineStr">
        <is>
          <t>confirmed</t>
        </is>
      </c>
      <c r="F104" s="12" t="n">
        <v>10177318</v>
      </c>
      <c r="G104" s="9" t="inlineStr">
        <is>
          <t>IDR</t>
        </is>
      </c>
      <c r="H104" s="12" t="n">
        <v>1221278</v>
      </c>
      <c r="I104" s="12" t="n">
        <v>0</v>
      </c>
      <c r="J104" s="9" t="inlineStr">
        <is>
          <t>OTA</t>
        </is>
      </c>
      <c r="K104" s="24" t="n">
        <v>46310</v>
      </c>
    </row>
    <row r="105">
      <c r="A105" s="9" t="inlineStr">
        <is>
          <t>R0104</t>
        </is>
      </c>
      <c r="B105" s="9" t="inlineStr">
        <is>
          <t>V018</t>
        </is>
      </c>
      <c r="C105" s="24" t="n">
        <v>46279</v>
      </c>
      <c r="D105" s="24" t="n">
        <v>46283</v>
      </c>
      <c r="E105" s="9" t="inlineStr">
        <is>
          <t>confirmed</t>
        </is>
      </c>
      <c r="F105" s="12" t="n">
        <v>10518605</v>
      </c>
      <c r="G105" s="9" t="inlineStr">
        <is>
          <t>IDR</t>
        </is>
      </c>
      <c r="H105" s="12" t="n">
        <v>1262233</v>
      </c>
      <c r="I105" s="12" t="n">
        <v>0</v>
      </c>
      <c r="J105" s="9" t="inlineStr">
        <is>
          <t>OTA</t>
        </is>
      </c>
      <c r="K105" s="24" t="n">
        <v>46310</v>
      </c>
    </row>
    <row r="106">
      <c r="A106" s="9" t="inlineStr">
        <is>
          <t>R0105</t>
        </is>
      </c>
      <c r="B106" s="9" t="inlineStr">
        <is>
          <t>V010</t>
        </is>
      </c>
      <c r="C106" s="24" t="n">
        <v>46271</v>
      </c>
      <c r="D106" s="24" t="n">
        <v>46275</v>
      </c>
      <c r="E106" s="9" t="inlineStr">
        <is>
          <t>confirmed</t>
        </is>
      </c>
      <c r="F106" s="12" t="n">
        <v>11047098</v>
      </c>
      <c r="G106" s="9" t="inlineStr">
        <is>
          <t>IDR</t>
        </is>
      </c>
      <c r="H106" s="12" t="n">
        <v>1657065</v>
      </c>
      <c r="I106" s="12" t="n">
        <v>0</v>
      </c>
      <c r="J106" s="9" t="inlineStr">
        <is>
          <t>Direct</t>
        </is>
      </c>
      <c r="K106" s="24" t="n">
        <v>46310</v>
      </c>
    </row>
    <row r="107">
      <c r="A107" s="9" t="inlineStr">
        <is>
          <t>R0106</t>
        </is>
      </c>
      <c r="B107" s="9" t="inlineStr">
        <is>
          <t>V016</t>
        </is>
      </c>
      <c r="C107" s="24" t="n">
        <v>46288</v>
      </c>
      <c r="D107" s="24" t="n">
        <v>46293</v>
      </c>
      <c r="E107" s="9" t="inlineStr">
        <is>
          <t>confirmed</t>
        </is>
      </c>
      <c r="F107" s="12" t="n">
        <v>10546533</v>
      </c>
      <c r="G107" s="9" t="inlineStr">
        <is>
          <t>IDR</t>
        </is>
      </c>
      <c r="H107" s="12" t="n">
        <v>1581980</v>
      </c>
      <c r="I107" s="12" t="n">
        <v>0</v>
      </c>
      <c r="J107" s="9" t="inlineStr">
        <is>
          <t>OTA</t>
        </is>
      </c>
      <c r="K107" s="24" t="n">
        <v>46310</v>
      </c>
    </row>
    <row r="108">
      <c r="A108" s="9" t="inlineStr">
        <is>
          <t>R0107</t>
        </is>
      </c>
      <c r="B108" s="9" t="inlineStr">
        <is>
          <t>V013</t>
        </is>
      </c>
      <c r="C108" s="24" t="n">
        <v>46305</v>
      </c>
      <c r="D108" s="24" t="n">
        <v>46313</v>
      </c>
      <c r="E108" s="9" t="inlineStr">
        <is>
          <t>confirmed</t>
        </is>
      </c>
      <c r="F108" s="12" t="n">
        <v>7599707</v>
      </c>
      <c r="G108" s="9" t="inlineStr">
        <is>
          <t>IDR</t>
        </is>
      </c>
      <c r="H108" s="12" t="n">
        <v>911965</v>
      </c>
      <c r="I108" s="12" t="n">
        <v>0</v>
      </c>
      <c r="J108" s="9" t="inlineStr">
        <is>
          <t>OTA</t>
        </is>
      </c>
      <c r="K108" s="24" t="n">
        <v>46310</v>
      </c>
    </row>
    <row r="109">
      <c r="A109" s="9" t="inlineStr">
        <is>
          <t>R0108</t>
        </is>
      </c>
      <c r="B109" s="9" t="inlineStr">
        <is>
          <t>V004</t>
        </is>
      </c>
      <c r="C109" s="24" t="n">
        <v>46267</v>
      </c>
      <c r="D109" s="24" t="n">
        <v>46272</v>
      </c>
      <c r="E109" s="9" t="inlineStr">
        <is>
          <t>confirmed</t>
        </is>
      </c>
      <c r="F109" s="12" t="n">
        <v>5042731</v>
      </c>
      <c r="G109" s="9" t="inlineStr">
        <is>
          <t>IDR</t>
        </is>
      </c>
      <c r="H109" s="12" t="n">
        <v>756410</v>
      </c>
      <c r="I109" s="12" t="n">
        <v>0</v>
      </c>
      <c r="J109" s="9" t="inlineStr">
        <is>
          <t>OTA</t>
        </is>
      </c>
      <c r="K109" s="24" t="n">
        <v>46310</v>
      </c>
    </row>
    <row r="110">
      <c r="A110" s="9" t="inlineStr">
        <is>
          <t>R0109</t>
        </is>
      </c>
      <c r="B110" s="9" t="inlineStr">
        <is>
          <t>V014</t>
        </is>
      </c>
      <c r="C110" s="24" t="n">
        <v>46296</v>
      </c>
      <c r="D110" s="24" t="n">
        <v>46301</v>
      </c>
      <c r="E110" s="9" t="inlineStr">
        <is>
          <t>confirmed</t>
        </is>
      </c>
      <c r="F110" s="12" t="n">
        <v>5074082</v>
      </c>
      <c r="G110" s="9" t="inlineStr">
        <is>
          <t>IDR</t>
        </is>
      </c>
      <c r="H110" s="12" t="n">
        <v>761112</v>
      </c>
      <c r="I110" s="12" t="n">
        <v>0</v>
      </c>
      <c r="J110" s="9" t="inlineStr">
        <is>
          <t>OTA</t>
        </is>
      </c>
      <c r="K110" s="24" t="n">
        <v>46310</v>
      </c>
    </row>
    <row r="111">
      <c r="A111" s="9" t="inlineStr">
        <is>
          <t>R0110</t>
        </is>
      </c>
      <c r="B111" s="9" t="inlineStr">
        <is>
          <t>V011</t>
        </is>
      </c>
      <c r="C111" s="24" t="n">
        <v>46280</v>
      </c>
      <c r="D111" s="24" t="n">
        <v>46282</v>
      </c>
      <c r="E111" s="9" t="inlineStr">
        <is>
          <t>confirmed</t>
        </is>
      </c>
      <c r="F111" s="12" t="n">
        <v>8309300</v>
      </c>
      <c r="G111" s="9" t="inlineStr">
        <is>
          <t>IDR</t>
        </is>
      </c>
      <c r="H111" s="12" t="n">
        <v>997116</v>
      </c>
      <c r="I111" s="12" t="n">
        <v>0</v>
      </c>
      <c r="J111" s="9" t="inlineStr">
        <is>
          <t>Direct</t>
        </is>
      </c>
      <c r="K111" s="24" t="n">
        <v>46310</v>
      </c>
    </row>
    <row r="112">
      <c r="A112" s="9" t="inlineStr">
        <is>
          <t>R0111</t>
        </is>
      </c>
      <c r="B112" s="9" t="inlineStr">
        <is>
          <t>V004</t>
        </is>
      </c>
      <c r="C112" s="24" t="n">
        <v>46300</v>
      </c>
      <c r="D112" s="24" t="n">
        <v>46304</v>
      </c>
      <c r="E112" s="9" t="inlineStr">
        <is>
          <t>confirmed</t>
        </is>
      </c>
      <c r="F112" s="12" t="n">
        <v>7332347</v>
      </c>
      <c r="G112" s="9" t="inlineStr">
        <is>
          <t>IDR</t>
        </is>
      </c>
      <c r="H112" s="12" t="n">
        <v>1099852</v>
      </c>
      <c r="I112" s="12" t="n">
        <v>0</v>
      </c>
      <c r="J112" s="9" t="inlineStr">
        <is>
          <t>OTA</t>
        </is>
      </c>
      <c r="K112" s="24" t="n">
        <v>46310</v>
      </c>
    </row>
    <row r="113">
      <c r="A113" s="9" t="inlineStr">
        <is>
          <t>R0112</t>
        </is>
      </c>
      <c r="B113" s="9" t="inlineStr">
        <is>
          <t>V008</t>
        </is>
      </c>
      <c r="C113" s="24" t="n">
        <v>46287</v>
      </c>
      <c r="D113" s="24" t="n">
        <v>46290</v>
      </c>
      <c r="E113" s="9" t="inlineStr">
        <is>
          <t>confirmed</t>
        </is>
      </c>
      <c r="F113" s="12" t="n">
        <v>2598850</v>
      </c>
      <c r="G113" s="9" t="inlineStr">
        <is>
          <t>IDR</t>
        </is>
      </c>
      <c r="H113" s="12" t="n">
        <v>441805</v>
      </c>
      <c r="I113" s="12" t="n">
        <v>0</v>
      </c>
      <c r="J113" s="9" t="inlineStr">
        <is>
          <t>OTA</t>
        </is>
      </c>
      <c r="K113" s="24" t="n">
        <v>46310</v>
      </c>
    </row>
    <row r="114">
      <c r="A114" s="9" t="inlineStr">
        <is>
          <t>R0113</t>
        </is>
      </c>
      <c r="B114" s="9" t="inlineStr">
        <is>
          <t>V020</t>
        </is>
      </c>
      <c r="C114" s="24" t="n">
        <v>46299</v>
      </c>
      <c r="D114" s="24" t="n">
        <v>46304</v>
      </c>
      <c r="E114" s="9" t="inlineStr">
        <is>
          <t>confirmed</t>
        </is>
      </c>
      <c r="F114" s="12" t="n">
        <v>13741443</v>
      </c>
      <c r="G114" s="9" t="inlineStr">
        <is>
          <t>IDR</t>
        </is>
      </c>
      <c r="H114" s="12" t="n">
        <v>2336045</v>
      </c>
      <c r="I114" s="12" t="n">
        <v>0</v>
      </c>
      <c r="J114" s="9" t="inlineStr">
        <is>
          <t>OTA</t>
        </is>
      </c>
      <c r="K114" s="24" t="n">
        <v>46310</v>
      </c>
    </row>
    <row r="115">
      <c r="A115" s="9" t="inlineStr">
        <is>
          <t>R0114</t>
        </is>
      </c>
      <c r="B115" s="9" t="inlineStr">
        <is>
          <t>V019</t>
        </is>
      </c>
      <c r="C115" s="24" t="n">
        <v>46293</v>
      </c>
      <c r="D115" s="24" t="n">
        <v>46295</v>
      </c>
      <c r="E115" s="9" t="inlineStr">
        <is>
          <t>confirmed</t>
        </is>
      </c>
      <c r="F115" s="12" t="n">
        <v>12466040</v>
      </c>
      <c r="G115" s="9" t="inlineStr">
        <is>
          <t>IDR</t>
        </is>
      </c>
      <c r="H115" s="12" t="n">
        <v>2119227</v>
      </c>
      <c r="I115" s="12" t="n">
        <v>0</v>
      </c>
      <c r="J115" s="9" t="inlineStr">
        <is>
          <t>OTA</t>
        </is>
      </c>
      <c r="K115" s="24" t="n">
        <v>46310</v>
      </c>
    </row>
    <row r="116">
      <c r="A116" s="9" t="inlineStr">
        <is>
          <t>R0115</t>
        </is>
      </c>
      <c r="B116" s="9" t="inlineStr">
        <is>
          <t>V017</t>
        </is>
      </c>
      <c r="C116" s="24" t="n">
        <v>46295</v>
      </c>
      <c r="D116" s="24" t="n">
        <v>46298</v>
      </c>
      <c r="E116" s="9" t="inlineStr">
        <is>
          <t>confirmed</t>
        </is>
      </c>
      <c r="F116" s="12" t="n">
        <v>14920013</v>
      </c>
      <c r="G116" s="9" t="inlineStr">
        <is>
          <t>IDR</t>
        </is>
      </c>
      <c r="H116" s="12" t="n">
        <v>1790402</v>
      </c>
      <c r="I116" s="12" t="n">
        <v>0</v>
      </c>
      <c r="J116" s="9" t="inlineStr">
        <is>
          <t>Direct</t>
        </is>
      </c>
      <c r="K116" s="24" t="n">
        <v>46310</v>
      </c>
    </row>
    <row r="117">
      <c r="A117" s="9" t="inlineStr">
        <is>
          <t>R0116</t>
        </is>
      </c>
      <c r="B117" s="9" t="inlineStr">
        <is>
          <t>V020</t>
        </is>
      </c>
      <c r="C117" s="24" t="n">
        <v>46293</v>
      </c>
      <c r="D117" s="24" t="n">
        <v>46296</v>
      </c>
      <c r="E117" s="9" t="inlineStr">
        <is>
          <t>confirmed</t>
        </is>
      </c>
      <c r="F117" s="12" t="n">
        <v>9314803</v>
      </c>
      <c r="G117" s="9" t="inlineStr">
        <is>
          <t>IDR</t>
        </is>
      </c>
      <c r="H117" s="12" t="n">
        <v>1583517</v>
      </c>
      <c r="I117" s="12" t="n">
        <v>0</v>
      </c>
      <c r="J117" s="9" t="inlineStr">
        <is>
          <t>OTA</t>
        </is>
      </c>
      <c r="K117" s="24" t="n">
        <v>46310</v>
      </c>
    </row>
    <row r="118">
      <c r="A118" s="9" t="inlineStr">
        <is>
          <t>R0117</t>
        </is>
      </c>
      <c r="B118" s="9" t="inlineStr">
        <is>
          <t>V005</t>
        </is>
      </c>
      <c r="C118" s="24" t="n">
        <v>46301</v>
      </c>
      <c r="D118" s="24" t="n">
        <v>46303</v>
      </c>
      <c r="E118" s="9" t="inlineStr">
        <is>
          <t>confirmed</t>
        </is>
      </c>
      <c r="F118" s="12" t="n">
        <v>2795956</v>
      </c>
      <c r="G118" s="9" t="inlineStr">
        <is>
          <t>IDR</t>
        </is>
      </c>
      <c r="H118" s="12" t="n">
        <v>419393</v>
      </c>
      <c r="I118" s="12" t="n">
        <v>0</v>
      </c>
      <c r="J118" s="9" t="inlineStr">
        <is>
          <t>OTA</t>
        </is>
      </c>
      <c r="K118" s="24" t="n">
        <v>46310</v>
      </c>
    </row>
    <row r="119">
      <c r="A119" s="9" t="inlineStr">
        <is>
          <t>R0118</t>
        </is>
      </c>
      <c r="B119" s="9" t="inlineStr">
        <is>
          <t>V020</t>
        </is>
      </c>
      <c r="C119" s="24" t="n">
        <v>46281</v>
      </c>
      <c r="D119" s="24" t="n">
        <v>46284</v>
      </c>
      <c r="E119" s="9" t="inlineStr">
        <is>
          <t>confirmed</t>
        </is>
      </c>
      <c r="F119" s="12" t="n">
        <v>9350484</v>
      </c>
      <c r="G119" s="9" t="inlineStr">
        <is>
          <t>IDR</t>
        </is>
      </c>
      <c r="H119" s="12" t="n">
        <v>1402573</v>
      </c>
      <c r="I119" s="12" t="n">
        <v>0</v>
      </c>
      <c r="J119" s="9" t="inlineStr">
        <is>
          <t>OTA</t>
        </is>
      </c>
      <c r="K119" s="24" t="n">
        <v>46310</v>
      </c>
    </row>
    <row r="120">
      <c r="A120" s="9" t="inlineStr">
        <is>
          <t>R0119</t>
        </is>
      </c>
      <c r="B120" s="9" t="inlineStr">
        <is>
          <t>V013</t>
        </is>
      </c>
      <c r="C120" s="24" t="n">
        <v>46281</v>
      </c>
      <c r="D120" s="24" t="n">
        <v>46288</v>
      </c>
      <c r="E120" s="9" t="inlineStr">
        <is>
          <t>confirmed</t>
        </is>
      </c>
      <c r="F120" s="12" t="n">
        <v>9471742</v>
      </c>
      <c r="G120" s="9" t="inlineStr">
        <is>
          <t>IDR</t>
        </is>
      </c>
      <c r="H120" s="12" t="n">
        <v>1420761</v>
      </c>
      <c r="I120" s="12" t="n">
        <v>0</v>
      </c>
      <c r="J120" s="9" t="inlineStr">
        <is>
          <t>OTA</t>
        </is>
      </c>
      <c r="K120" s="24" t="n">
        <v>46310</v>
      </c>
    </row>
    <row r="121">
      <c r="A121" s="9" t="inlineStr">
        <is>
          <t>R0120</t>
        </is>
      </c>
      <c r="B121" s="9" t="inlineStr">
        <is>
          <t>V010</t>
        </is>
      </c>
      <c r="C121" s="24" t="n">
        <v>46283</v>
      </c>
      <c r="D121" s="24" t="n">
        <v>46288</v>
      </c>
      <c r="E121" s="9" t="inlineStr">
        <is>
          <t>confirmed</t>
        </is>
      </c>
      <c r="F121" s="12" t="n">
        <v>3066379</v>
      </c>
      <c r="G121" s="9" t="inlineStr">
        <is>
          <t>IDR</t>
        </is>
      </c>
      <c r="H121" s="12" t="n">
        <v>459957</v>
      </c>
      <c r="I121" s="12" t="n">
        <v>0</v>
      </c>
      <c r="J121" s="9" t="inlineStr">
        <is>
          <t>Direct</t>
        </is>
      </c>
      <c r="K121" s="24" t="n">
        <v>46310</v>
      </c>
    </row>
    <row r="122">
      <c r="A122" s="9" t="inlineStr">
        <is>
          <t>R0121</t>
        </is>
      </c>
      <c r="B122" s="9" t="inlineStr">
        <is>
          <t>V010</t>
        </is>
      </c>
      <c r="C122" s="24" t="n">
        <v>46278</v>
      </c>
      <c r="D122" s="24" t="n">
        <v>46282</v>
      </c>
      <c r="E122" s="9" t="inlineStr">
        <is>
          <t>confirmed</t>
        </is>
      </c>
      <c r="F122" s="12" t="n">
        <v>5609704</v>
      </c>
      <c r="G122" s="9" t="inlineStr">
        <is>
          <t>IDR</t>
        </is>
      </c>
      <c r="H122" s="12" t="n">
        <v>953650</v>
      </c>
      <c r="I122" s="12" t="n">
        <v>0</v>
      </c>
      <c r="J122" s="9" t="inlineStr">
        <is>
          <t>OTA</t>
        </is>
      </c>
      <c r="K122" s="24" t="n">
        <v>46310</v>
      </c>
    </row>
    <row r="123">
      <c r="A123" s="9" t="inlineStr">
        <is>
          <t>R0122</t>
        </is>
      </c>
      <c r="B123" s="9" t="inlineStr">
        <is>
          <t>V020</t>
        </is>
      </c>
      <c r="C123" s="24" t="n">
        <v>46306</v>
      </c>
      <c r="D123" s="24" t="n">
        <v>46309</v>
      </c>
      <c r="E123" s="9" t="inlineStr">
        <is>
          <t>confirmed</t>
        </is>
      </c>
      <c r="F123" s="12" t="n">
        <v>3069750</v>
      </c>
      <c r="G123" s="9" t="inlineStr">
        <is>
          <t>IDR</t>
        </is>
      </c>
      <c r="H123" s="12" t="n">
        <v>460462</v>
      </c>
      <c r="I123" s="12" t="n">
        <v>0</v>
      </c>
      <c r="J123" s="9" t="inlineStr">
        <is>
          <t>OTA</t>
        </is>
      </c>
      <c r="K123" s="24" t="n">
        <v>46310</v>
      </c>
    </row>
    <row r="124">
      <c r="A124" s="9" t="inlineStr">
        <is>
          <t>R0123</t>
        </is>
      </c>
      <c r="B124" s="9" t="inlineStr">
        <is>
          <t>V019</t>
        </is>
      </c>
      <c r="C124" s="24" t="n">
        <v>46319</v>
      </c>
      <c r="D124" s="24" t="n">
        <v>46324</v>
      </c>
      <c r="E124" s="9" t="inlineStr">
        <is>
          <t>confirmed</t>
        </is>
      </c>
      <c r="F124" s="12" t="n">
        <v>14281886</v>
      </c>
      <c r="G124" s="9" t="inlineStr">
        <is>
          <t>IDR</t>
        </is>
      </c>
      <c r="H124" s="12" t="n">
        <v>1713826</v>
      </c>
      <c r="I124" s="12" t="n">
        <v>0</v>
      </c>
      <c r="J124" s="9" t="inlineStr">
        <is>
          <t>OTA</t>
        </is>
      </c>
      <c r="K124" s="24" t="n">
        <v>46310</v>
      </c>
    </row>
    <row r="125">
      <c r="A125" s="9" t="inlineStr">
        <is>
          <t>R0124</t>
        </is>
      </c>
      <c r="B125" s="9" t="inlineStr">
        <is>
          <t>V016</t>
        </is>
      </c>
      <c r="C125" s="24" t="n">
        <v>46269</v>
      </c>
      <c r="D125" s="24" t="n">
        <v>46275</v>
      </c>
      <c r="E125" s="9" t="inlineStr">
        <is>
          <t>confirmed</t>
        </is>
      </c>
      <c r="F125" s="12" t="n">
        <v>12543291</v>
      </c>
      <c r="G125" s="9" t="inlineStr">
        <is>
          <t>IDR</t>
        </is>
      </c>
      <c r="H125" s="12" t="n">
        <v>1881494</v>
      </c>
      <c r="I125" s="12" t="n">
        <v>0</v>
      </c>
      <c r="J125" s="9" t="inlineStr">
        <is>
          <t>OTA</t>
        </is>
      </c>
      <c r="K125" s="24" t="n">
        <v>46310</v>
      </c>
    </row>
    <row r="126">
      <c r="A126" s="9" t="inlineStr">
        <is>
          <t>R0125</t>
        </is>
      </c>
      <c r="B126" s="9" t="inlineStr">
        <is>
          <t>V014</t>
        </is>
      </c>
      <c r="C126" s="24" t="n">
        <v>46283</v>
      </c>
      <c r="D126" s="24" t="n">
        <v>46286</v>
      </c>
      <c r="E126" s="9" t="inlineStr">
        <is>
          <t>confirmed</t>
        </is>
      </c>
      <c r="F126" s="12" t="n">
        <v>13753716</v>
      </c>
      <c r="G126" s="9" t="inlineStr">
        <is>
          <t>IDR</t>
        </is>
      </c>
      <c r="H126" s="12" t="n">
        <v>2338132</v>
      </c>
      <c r="I126" s="12" t="n">
        <v>0</v>
      </c>
      <c r="J126" s="9" t="inlineStr">
        <is>
          <t>Direct</t>
        </is>
      </c>
      <c r="K126" s="24" t="n">
        <v>46310</v>
      </c>
    </row>
    <row r="127">
      <c r="A127" s="9" t="inlineStr">
        <is>
          <t>R0126</t>
        </is>
      </c>
      <c r="B127" s="9" t="inlineStr">
        <is>
          <t>V015</t>
        </is>
      </c>
      <c r="C127" s="24" t="n">
        <v>46274</v>
      </c>
      <c r="D127" s="24" t="n">
        <v>46279</v>
      </c>
      <c r="E127" s="9" t="inlineStr">
        <is>
          <t>confirmed</t>
        </is>
      </c>
      <c r="F127" s="12" t="n">
        <v>9733373</v>
      </c>
      <c r="G127" s="9" t="inlineStr">
        <is>
          <t>IDR</t>
        </is>
      </c>
      <c r="H127" s="12" t="n">
        <v>1168005</v>
      </c>
      <c r="I127" s="12" t="n">
        <v>0</v>
      </c>
      <c r="J127" s="9" t="inlineStr">
        <is>
          <t>OTA</t>
        </is>
      </c>
      <c r="K127" s="24" t="n">
        <v>46310</v>
      </c>
    </row>
    <row r="128">
      <c r="A128" s="9" t="inlineStr">
        <is>
          <t>R0127</t>
        </is>
      </c>
      <c r="B128" s="9" t="inlineStr">
        <is>
          <t>V008</t>
        </is>
      </c>
      <c r="C128" s="24" t="n">
        <v>46317</v>
      </c>
      <c r="D128" s="24" t="n">
        <v>46322</v>
      </c>
      <c r="E128" s="9" t="inlineStr">
        <is>
          <t>confirmed</t>
        </is>
      </c>
      <c r="F128" s="12" t="n">
        <v>10971378</v>
      </c>
      <c r="G128" s="9" t="inlineStr">
        <is>
          <t>IDR</t>
        </is>
      </c>
      <c r="H128" s="12" t="n">
        <v>1316565</v>
      </c>
      <c r="I128" s="12" t="n">
        <v>0</v>
      </c>
      <c r="J128" s="9" t="inlineStr">
        <is>
          <t>OTA</t>
        </is>
      </c>
      <c r="K128" s="24" t="n">
        <v>46310</v>
      </c>
    </row>
    <row r="129">
      <c r="A129" s="9" t="inlineStr">
        <is>
          <t>R0128</t>
        </is>
      </c>
      <c r="B129" s="9" t="inlineStr">
        <is>
          <t>V003</t>
        </is>
      </c>
      <c r="C129" s="24" t="n">
        <v>46278</v>
      </c>
      <c r="D129" s="24" t="n">
        <v>46281</v>
      </c>
      <c r="E129" s="9" t="inlineStr">
        <is>
          <t>confirmed</t>
        </is>
      </c>
      <c r="F129" s="12" t="n">
        <v>7664910</v>
      </c>
      <c r="G129" s="9" t="inlineStr">
        <is>
          <t>IDR</t>
        </is>
      </c>
      <c r="H129" s="12" t="n">
        <v>919789</v>
      </c>
      <c r="I129" s="12" t="n">
        <v>0</v>
      </c>
      <c r="J129" s="9" t="inlineStr">
        <is>
          <t>OTA</t>
        </is>
      </c>
      <c r="K129" s="24" t="n">
        <v>46310</v>
      </c>
    </row>
    <row r="130">
      <c r="A130" s="9" t="inlineStr">
        <is>
          <t>R0129</t>
        </is>
      </c>
      <c r="B130" s="9" t="inlineStr">
        <is>
          <t>V002</t>
        </is>
      </c>
      <c r="C130" s="24" t="n">
        <v>46308</v>
      </c>
      <c r="D130" s="24" t="n">
        <v>46312</v>
      </c>
      <c r="E130" s="9" t="inlineStr">
        <is>
          <t>confirmed</t>
        </is>
      </c>
      <c r="F130" s="12" t="n">
        <v>13602857</v>
      </c>
      <c r="G130" s="9" t="inlineStr">
        <is>
          <t>IDR</t>
        </is>
      </c>
      <c r="H130" s="12" t="n">
        <v>2312486</v>
      </c>
      <c r="I130" s="12" t="n">
        <v>0</v>
      </c>
      <c r="J130" s="9" t="inlineStr">
        <is>
          <t>OTA</t>
        </is>
      </c>
      <c r="K130" s="24" t="n">
        <v>46310</v>
      </c>
    </row>
    <row r="131">
      <c r="A131" s="9" t="inlineStr">
        <is>
          <t>R0130</t>
        </is>
      </c>
      <c r="B131" s="9" t="inlineStr">
        <is>
          <t>V020</t>
        </is>
      </c>
      <c r="C131" s="24" t="n">
        <v>46299</v>
      </c>
      <c r="D131" s="24" t="n">
        <v>46301</v>
      </c>
      <c r="E131" s="9" t="inlineStr">
        <is>
          <t>confirmed</t>
        </is>
      </c>
      <c r="F131" s="12" t="n">
        <v>12463059</v>
      </c>
      <c r="G131" s="9" t="inlineStr">
        <is>
          <t>IDR</t>
        </is>
      </c>
      <c r="H131" s="12" t="n">
        <v>1869459</v>
      </c>
      <c r="I131" s="12" t="n">
        <v>0</v>
      </c>
      <c r="J131" s="9" t="inlineStr">
        <is>
          <t>Direct</t>
        </is>
      </c>
      <c r="K131" s="24" t="n">
        <v>46310</v>
      </c>
    </row>
    <row r="132">
      <c r="A132" s="9" t="inlineStr">
        <is>
          <t>R0131</t>
        </is>
      </c>
      <c r="B132" s="9" t="inlineStr">
        <is>
          <t>V015</t>
        </is>
      </c>
      <c r="C132" s="24" t="n">
        <v>46287</v>
      </c>
      <c r="D132" s="24" t="n">
        <v>46295</v>
      </c>
      <c r="E132" s="9" t="inlineStr">
        <is>
          <t>cancelled</t>
        </is>
      </c>
      <c r="F132" s="12" t="n">
        <v>6699678</v>
      </c>
      <c r="G132" s="9" t="inlineStr">
        <is>
          <t>IDR</t>
        </is>
      </c>
      <c r="H132" s="12" t="n">
        <v>1004952</v>
      </c>
      <c r="I132" s="12" t="n">
        <v>6699678</v>
      </c>
      <c r="J132" s="9" t="inlineStr">
        <is>
          <t>OTA</t>
        </is>
      </c>
      <c r="K132" s="24" t="n">
        <v>46310</v>
      </c>
    </row>
    <row r="133">
      <c r="A133" s="9" t="inlineStr">
        <is>
          <t>R0132</t>
        </is>
      </c>
      <c r="B133" s="9" t="inlineStr">
        <is>
          <t>V012</t>
        </is>
      </c>
      <c r="C133" s="24" t="n">
        <v>46320</v>
      </c>
      <c r="D133" s="24" t="n">
        <v>46323</v>
      </c>
      <c r="E133" s="9" t="inlineStr">
        <is>
          <t>cancelled</t>
        </is>
      </c>
      <c r="F133" s="12" t="n">
        <v>3674759</v>
      </c>
      <c r="G133" s="9" t="inlineStr">
        <is>
          <t>IDR</t>
        </is>
      </c>
      <c r="H133" s="12" t="n">
        <v>624709</v>
      </c>
      <c r="I133" s="12" t="n">
        <v>3674759</v>
      </c>
      <c r="J133" s="9" t="inlineStr">
        <is>
          <t>OTA</t>
        </is>
      </c>
      <c r="K133" s="24" t="n">
        <v>46310</v>
      </c>
    </row>
    <row r="134">
      <c r="A134" s="9" t="inlineStr">
        <is>
          <t>R0133</t>
        </is>
      </c>
      <c r="B134" s="9" t="inlineStr">
        <is>
          <t>V007</t>
        </is>
      </c>
      <c r="C134" s="24" t="n">
        <v>46267</v>
      </c>
      <c r="D134" s="24" t="n">
        <v>46269</v>
      </c>
      <c r="E134" s="9" t="inlineStr">
        <is>
          <t>cancelled</t>
        </is>
      </c>
      <c r="F134" s="12" t="n">
        <v>9771291</v>
      </c>
      <c r="G134" s="9" t="inlineStr">
        <is>
          <t>IDR</t>
        </is>
      </c>
      <c r="H134" s="12" t="n">
        <v>1661119</v>
      </c>
      <c r="I134" s="12" t="n">
        <v>9771291</v>
      </c>
      <c r="J134" s="9" t="inlineStr">
        <is>
          <t>OTA</t>
        </is>
      </c>
      <c r="K134" s="24" t="n">
        <v>46310</v>
      </c>
    </row>
    <row r="135">
      <c r="A135" s="9" t="inlineStr">
        <is>
          <t>R0134</t>
        </is>
      </c>
      <c r="B135" s="9" t="inlineStr">
        <is>
          <t>V013</t>
        </is>
      </c>
      <c r="C135" s="24" t="n">
        <v>46266</v>
      </c>
      <c r="D135" s="24" t="n">
        <v>46274</v>
      </c>
      <c r="E135" s="9" t="inlineStr">
        <is>
          <t>cancelled</t>
        </is>
      </c>
      <c r="F135" s="12" t="n">
        <v>3910340</v>
      </c>
      <c r="G135" s="9" t="inlineStr">
        <is>
          <t>IDR</t>
        </is>
      </c>
      <c r="H135" s="12" t="n">
        <v>664758</v>
      </c>
      <c r="I135" s="12" t="n">
        <v>3910340</v>
      </c>
      <c r="J135" s="9" t="inlineStr">
        <is>
          <t>OTA</t>
        </is>
      </c>
      <c r="K135" s="24" t="n">
        <v>46310</v>
      </c>
    </row>
    <row r="136">
      <c r="A136" s="9" t="inlineStr">
        <is>
          <t>R0135</t>
        </is>
      </c>
      <c r="B136" s="9" t="inlineStr">
        <is>
          <t>V015</t>
        </is>
      </c>
      <c r="C136" s="24" t="n">
        <v>46274</v>
      </c>
      <c r="D136" s="24" t="n">
        <v>46276</v>
      </c>
      <c r="E136" s="9" t="inlineStr">
        <is>
          <t>cancelled</t>
        </is>
      </c>
      <c r="F136" s="12" t="n">
        <v>11433870</v>
      </c>
      <c r="G136" s="9" t="inlineStr">
        <is>
          <t>IDR</t>
        </is>
      </c>
      <c r="H136" s="12" t="n">
        <v>1943758</v>
      </c>
      <c r="I136" s="12" t="n">
        <v>11433870</v>
      </c>
      <c r="J136" s="9" t="inlineStr">
        <is>
          <t>Direct</t>
        </is>
      </c>
      <c r="K136" s="24" t="n">
        <v>46310</v>
      </c>
    </row>
    <row r="137">
      <c r="A137" s="9" t="inlineStr">
        <is>
          <t>R0136</t>
        </is>
      </c>
      <c r="B137" s="9" t="inlineStr">
        <is>
          <t>V020</t>
        </is>
      </c>
      <c r="C137" s="24" t="n">
        <v>46312</v>
      </c>
      <c r="D137" s="24" t="n">
        <v>46319</v>
      </c>
      <c r="E137" s="9" t="inlineStr">
        <is>
          <t>cancelled</t>
        </is>
      </c>
      <c r="F137" s="12" t="n">
        <v>11056387</v>
      </c>
      <c r="G137" s="9" t="inlineStr">
        <is>
          <t>IDR</t>
        </is>
      </c>
      <c r="H137" s="12" t="n">
        <v>1326766</v>
      </c>
      <c r="I137" s="12" t="n">
        <v>11056387</v>
      </c>
      <c r="J137" s="9" t="inlineStr">
        <is>
          <t>OTA</t>
        </is>
      </c>
      <c r="K137" s="24" t="n">
        <v>46310</v>
      </c>
    </row>
    <row r="138">
      <c r="A138" s="9" t="inlineStr">
        <is>
          <t>R0137</t>
        </is>
      </c>
      <c r="B138" s="9" t="inlineStr">
        <is>
          <t>V016</t>
        </is>
      </c>
      <c r="C138" s="24" t="n">
        <v>46308</v>
      </c>
      <c r="D138" s="24" t="n">
        <v>46313</v>
      </c>
      <c r="E138" s="9" t="inlineStr">
        <is>
          <t>cancelled</t>
        </is>
      </c>
      <c r="F138" s="12" t="n">
        <v>3333329</v>
      </c>
      <c r="G138" s="9" t="inlineStr">
        <is>
          <t>IDR</t>
        </is>
      </c>
      <c r="H138" s="12" t="n">
        <v>566666</v>
      </c>
      <c r="I138" s="12" t="n">
        <v>3333329</v>
      </c>
      <c r="J138" s="9" t="inlineStr">
        <is>
          <t>OTA</t>
        </is>
      </c>
      <c r="K138" s="24" t="n">
        <v>46310</v>
      </c>
    </row>
    <row r="139">
      <c r="A139" s="9" t="inlineStr">
        <is>
          <t>R0138</t>
        </is>
      </c>
      <c r="B139" s="9" t="inlineStr">
        <is>
          <t>V004</t>
        </is>
      </c>
      <c r="C139" s="24" t="n">
        <v>46271</v>
      </c>
      <c r="D139" s="24" t="n">
        <v>46278</v>
      </c>
      <c r="E139" s="9" t="inlineStr">
        <is>
          <t>cancelled</t>
        </is>
      </c>
      <c r="F139" s="12" t="n">
        <v>4714658</v>
      </c>
      <c r="G139" s="9" t="inlineStr">
        <is>
          <t>IDR</t>
        </is>
      </c>
      <c r="H139" s="12" t="n">
        <v>707199</v>
      </c>
      <c r="I139" s="12" t="n">
        <v>4714658</v>
      </c>
      <c r="J139" s="9" t="inlineStr">
        <is>
          <t>OTA</t>
        </is>
      </c>
      <c r="K139" s="24" t="n">
        <v>46310</v>
      </c>
    </row>
    <row r="140">
      <c r="A140" s="9" t="inlineStr">
        <is>
          <t>R0139</t>
        </is>
      </c>
      <c r="B140" s="9" t="inlineStr">
        <is>
          <t>V007</t>
        </is>
      </c>
      <c r="C140" s="24" t="n">
        <v>46305</v>
      </c>
      <c r="D140" s="24" t="n">
        <v>46308</v>
      </c>
      <c r="E140" s="9" t="inlineStr">
        <is>
          <t>cancelled</t>
        </is>
      </c>
      <c r="F140" s="12" t="n">
        <v>13988963</v>
      </c>
      <c r="G140" s="9" t="inlineStr">
        <is>
          <t>IDR</t>
        </is>
      </c>
      <c r="H140" s="12" t="n">
        <v>1678676</v>
      </c>
      <c r="I140" s="12" t="n">
        <v>13988963</v>
      </c>
      <c r="J140" s="9" t="inlineStr">
        <is>
          <t>OTA</t>
        </is>
      </c>
      <c r="K140" s="24" t="n">
        <v>46310</v>
      </c>
    </row>
    <row r="141">
      <c r="A141" s="9" t="inlineStr">
        <is>
          <t>R0140</t>
        </is>
      </c>
      <c r="B141" s="9" t="inlineStr">
        <is>
          <t>V004</t>
        </is>
      </c>
      <c r="C141" s="24" t="n">
        <v>46311</v>
      </c>
      <c r="D141" s="24" t="n">
        <v>46319</v>
      </c>
      <c r="E141" s="9" t="inlineStr">
        <is>
          <t>cancelled</t>
        </is>
      </c>
      <c r="F141" s="12" t="n">
        <v>9010497</v>
      </c>
      <c r="G141" s="9" t="inlineStr">
        <is>
          <t>IDR</t>
        </is>
      </c>
      <c r="H141" s="12" t="n">
        <v>1081260</v>
      </c>
      <c r="I141" s="12" t="n">
        <v>9010497</v>
      </c>
      <c r="J141" s="9" t="inlineStr">
        <is>
          <t>Direct</t>
        </is>
      </c>
      <c r="K141" s="24" t="n">
        <v>46310</v>
      </c>
    </row>
    <row r="142">
      <c r="A142" s="9" t="inlineStr">
        <is>
          <t>R0141</t>
        </is>
      </c>
      <c r="B142" s="9" t="inlineStr">
        <is>
          <t>V006</t>
        </is>
      </c>
      <c r="C142" s="24" t="n">
        <v>46269</v>
      </c>
      <c r="D142" s="24" t="n">
        <v>46277</v>
      </c>
      <c r="E142" s="9" t="inlineStr">
        <is>
          <t>cancelled</t>
        </is>
      </c>
      <c r="F142" s="12" t="n">
        <v>4048571</v>
      </c>
      <c r="G142" s="9" t="inlineStr">
        <is>
          <t>IDR</t>
        </is>
      </c>
      <c r="H142" s="12" t="n">
        <v>485829</v>
      </c>
      <c r="I142" s="12" t="n">
        <v>4048571</v>
      </c>
      <c r="J142" s="9" t="inlineStr">
        <is>
          <t>OTA</t>
        </is>
      </c>
      <c r="K142" s="24" t="n">
        <v>46310</v>
      </c>
    </row>
    <row r="143">
      <c r="A143" s="9" t="inlineStr">
        <is>
          <t>R0142</t>
        </is>
      </c>
      <c r="B143" s="9" t="inlineStr">
        <is>
          <t>V002</t>
        </is>
      </c>
      <c r="C143" s="24" t="n">
        <v>46300</v>
      </c>
      <c r="D143" s="24" t="n">
        <v>46302</v>
      </c>
      <c r="E143" s="9" t="inlineStr">
        <is>
          <t>cancelled</t>
        </is>
      </c>
      <c r="F143" s="12" t="n">
        <v>4521170</v>
      </c>
      <c r="G143" s="9" t="inlineStr">
        <is>
          <t>IDR</t>
        </is>
      </c>
      <c r="H143" s="12" t="n">
        <v>678176</v>
      </c>
      <c r="I143" s="12" t="n">
        <v>4521170</v>
      </c>
      <c r="J143" s="9" t="inlineStr">
        <is>
          <t>OTA</t>
        </is>
      </c>
      <c r="K143" s="24" t="n">
        <v>46310</v>
      </c>
    </row>
    <row r="144">
      <c r="A144" s="9" t="inlineStr">
        <is>
          <t>R0143</t>
        </is>
      </c>
      <c r="B144" s="9" t="inlineStr">
        <is>
          <t>V011</t>
        </is>
      </c>
      <c r="C144" s="24" t="n">
        <v>46270</v>
      </c>
      <c r="D144" s="24" t="n">
        <v>46276</v>
      </c>
      <c r="E144" s="9" t="inlineStr">
        <is>
          <t>modified</t>
        </is>
      </c>
      <c r="F144" s="12" t="n">
        <v>6955058</v>
      </c>
      <c r="G144" s="9" t="inlineStr">
        <is>
          <t>IDR</t>
        </is>
      </c>
      <c r="H144" s="12" t="n">
        <v>1043259</v>
      </c>
      <c r="I144" s="12" t="n">
        <v>0</v>
      </c>
      <c r="J144" s="9" t="inlineStr">
        <is>
          <t>OTA</t>
        </is>
      </c>
      <c r="K144" s="24" t="n">
        <v>46310</v>
      </c>
    </row>
    <row r="145">
      <c r="A145" s="9" t="inlineStr">
        <is>
          <t>R0144</t>
        </is>
      </c>
      <c r="B145" s="9" t="inlineStr">
        <is>
          <t>V002</t>
        </is>
      </c>
      <c r="C145" s="24" t="n">
        <v>46321</v>
      </c>
      <c r="D145" s="24" t="n">
        <v>46324</v>
      </c>
      <c r="E145" s="9" t="inlineStr">
        <is>
          <t>modified</t>
        </is>
      </c>
      <c r="F145" s="12" t="n">
        <v>8371057</v>
      </c>
      <c r="G145" s="9" t="inlineStr">
        <is>
          <t>IDR</t>
        </is>
      </c>
      <c r="H145" s="12" t="n">
        <v>1255659</v>
      </c>
      <c r="I145" s="12" t="n">
        <v>0</v>
      </c>
      <c r="J145" s="9" t="inlineStr">
        <is>
          <t>OTA</t>
        </is>
      </c>
      <c r="K145" s="24" t="n">
        <v>46310</v>
      </c>
    </row>
    <row r="146">
      <c r="A146" s="9" t="inlineStr">
        <is>
          <t>R0145</t>
        </is>
      </c>
      <c r="B146" s="9" t="inlineStr">
        <is>
          <t>V015</t>
        </is>
      </c>
      <c r="C146" s="24" t="n">
        <v>46273</v>
      </c>
      <c r="D146" s="24" t="n">
        <v>46278</v>
      </c>
      <c r="E146" s="9" t="inlineStr">
        <is>
          <t>modified</t>
        </is>
      </c>
      <c r="F146" s="12" t="n">
        <v>9974242</v>
      </c>
      <c r="G146" s="9" t="inlineStr">
        <is>
          <t>IDR</t>
        </is>
      </c>
      <c r="H146" s="12" t="n">
        <v>1496136</v>
      </c>
      <c r="I146" s="12" t="n">
        <v>0</v>
      </c>
      <c r="J146" s="9" t="inlineStr">
        <is>
          <t>Direct</t>
        </is>
      </c>
      <c r="K146" s="24" t="n">
        <v>46310</v>
      </c>
    </row>
    <row r="147">
      <c r="A147" s="9" t="inlineStr">
        <is>
          <t>R0146</t>
        </is>
      </c>
      <c r="B147" s="9" t="inlineStr">
        <is>
          <t>V008</t>
        </is>
      </c>
      <c r="C147" s="24" t="n">
        <v>46284</v>
      </c>
      <c r="D147" s="24" t="n">
        <v>46289</v>
      </c>
      <c r="E147" s="9" t="inlineStr">
        <is>
          <t>modified</t>
        </is>
      </c>
      <c r="F147" s="12" t="n">
        <v>2521489</v>
      </c>
      <c r="G147" s="9" t="inlineStr">
        <is>
          <t>IDR</t>
        </is>
      </c>
      <c r="H147" s="12" t="n">
        <v>302579</v>
      </c>
      <c r="I147" s="12" t="n">
        <v>0</v>
      </c>
      <c r="J147" s="9" t="inlineStr">
        <is>
          <t>OTA</t>
        </is>
      </c>
      <c r="K147" s="24" t="n">
        <v>46310</v>
      </c>
    </row>
    <row r="148">
      <c r="A148" s="9" t="inlineStr">
        <is>
          <t>R0147</t>
        </is>
      </c>
      <c r="B148" s="9" t="inlineStr">
        <is>
          <t>V002</t>
        </is>
      </c>
      <c r="C148" s="24" t="n">
        <v>46293</v>
      </c>
      <c r="D148" s="24" t="n">
        <v>46298</v>
      </c>
      <c r="E148" s="9" t="inlineStr">
        <is>
          <t>modified</t>
        </is>
      </c>
      <c r="F148" s="12" t="n">
        <v>13430783</v>
      </c>
      <c r="G148" s="9" t="inlineStr">
        <is>
          <t>IDR</t>
        </is>
      </c>
      <c r="H148" s="12" t="n">
        <v>2283233</v>
      </c>
      <c r="I148" s="12" t="n">
        <v>0</v>
      </c>
      <c r="J148" s="9" t="inlineStr">
        <is>
          <t>OTA</t>
        </is>
      </c>
      <c r="K148" s="24" t="n">
        <v>46310</v>
      </c>
    </row>
    <row r="149">
      <c r="A149" s="9" t="inlineStr">
        <is>
          <t>R0148</t>
        </is>
      </c>
      <c r="B149" s="9" t="inlineStr">
        <is>
          <t>V017</t>
        </is>
      </c>
      <c r="C149" s="24" t="n">
        <v>46299</v>
      </c>
      <c r="D149" s="24" t="n">
        <v>46304</v>
      </c>
      <c r="E149" s="9" t="inlineStr">
        <is>
          <t>modified</t>
        </is>
      </c>
      <c r="F149" s="12" t="n">
        <v>8136835</v>
      </c>
      <c r="G149" s="9" t="inlineStr">
        <is>
          <t>IDR</t>
        </is>
      </c>
      <c r="H149" s="12" t="n">
        <v>976420</v>
      </c>
      <c r="I149" s="12" t="n">
        <v>0</v>
      </c>
      <c r="J149" s="9" t="inlineStr">
        <is>
          <t>OTA</t>
        </is>
      </c>
      <c r="K149" s="24" t="n">
        <v>46310</v>
      </c>
    </row>
    <row r="150">
      <c r="A150" s="9" t="inlineStr">
        <is>
          <t>R0149</t>
        </is>
      </c>
      <c r="B150" s="9" t="inlineStr">
        <is>
          <t>V009</t>
        </is>
      </c>
      <c r="C150" s="24" t="n">
        <v>46267</v>
      </c>
      <c r="D150" s="24" t="n">
        <v>46274</v>
      </c>
      <c r="E150" s="9" t="inlineStr">
        <is>
          <t>modified</t>
        </is>
      </c>
      <c r="F150" s="12" t="n">
        <v>14235106</v>
      </c>
      <c r="G150" s="9" t="inlineStr">
        <is>
          <t>IDR</t>
        </is>
      </c>
      <c r="H150" s="12" t="n">
        <v>2419968</v>
      </c>
      <c r="I150" s="12" t="n">
        <v>0</v>
      </c>
      <c r="J150" s="9" t="inlineStr">
        <is>
          <t>OTA</t>
        </is>
      </c>
      <c r="K150" s="24" t="n">
        <v>46310</v>
      </c>
    </row>
    <row r="151">
      <c r="A151" s="9" t="inlineStr">
        <is>
          <t>R0150</t>
        </is>
      </c>
      <c r="B151" s="9" t="inlineStr">
        <is>
          <t>V009</t>
        </is>
      </c>
      <c r="C151" s="24" t="n">
        <v>46266</v>
      </c>
      <c r="D151" s="24" t="n">
        <v>46274</v>
      </c>
      <c r="E151" s="9" t="inlineStr">
        <is>
          <t>modified</t>
        </is>
      </c>
      <c r="F151" s="12" t="n">
        <v>14712115</v>
      </c>
      <c r="G151" s="9" t="inlineStr">
        <is>
          <t>IDR</t>
        </is>
      </c>
      <c r="H151" s="12" t="n">
        <v>2501060</v>
      </c>
      <c r="I151" s="12" t="n">
        <v>0</v>
      </c>
      <c r="J151" s="9" t="inlineStr">
        <is>
          <t>Direct</t>
        </is>
      </c>
      <c r="K151" s="24" t="n">
        <v>46310</v>
      </c>
    </row>
    <row r="152">
      <c r="A152" s="9" t="inlineStr">
        <is>
          <t>R0015</t>
        </is>
      </c>
      <c r="B152" s="9" t="inlineStr">
        <is>
          <t>V003</t>
        </is>
      </c>
      <c r="C152" s="24" t="n">
        <v>46292</v>
      </c>
      <c r="D152" s="24" t="n">
        <v>46294</v>
      </c>
      <c r="E152" s="9" t="inlineStr">
        <is>
          <t>confirmed</t>
        </is>
      </c>
      <c r="F152" s="12" t="n">
        <v>13628994</v>
      </c>
      <c r="G152" s="9" t="inlineStr">
        <is>
          <t>IDR</t>
        </is>
      </c>
      <c r="H152" s="12" t="n">
        <v>2316929</v>
      </c>
      <c r="I152" s="12" t="n">
        <v>0</v>
      </c>
      <c r="J152" s="9" t="inlineStr">
        <is>
          <t>Direct</t>
        </is>
      </c>
      <c r="K152" s="24" t="n">
        <v>46280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AA5B1"/>
    <outlinePr summaryBelow="1" summaryRight="1"/>
    <pageSetUpPr/>
  </sheetPr>
  <dimension ref="A1:G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13" t="inlineStr">
        <is>
          <t>payment_id</t>
        </is>
      </c>
      <c r="B1" s="13" t="inlineStr">
        <is>
          <t>reservation_id</t>
        </is>
      </c>
      <c r="C1" s="13" t="inlineStr">
        <is>
          <t>property_id</t>
        </is>
      </c>
      <c r="D1" s="13" t="inlineStr">
        <is>
          <t>payment_date</t>
        </is>
      </c>
      <c r="E1" s="13" t="inlineStr">
        <is>
          <t>amount</t>
        </is>
      </c>
      <c r="F1" s="13" t="inlineStr">
        <is>
          <t>currency</t>
        </is>
      </c>
      <c r="G1" s="13" t="inlineStr">
        <is>
          <t>status</t>
        </is>
      </c>
    </row>
    <row r="2">
      <c r="A2" s="9" t="inlineStr">
        <is>
          <t>P0001</t>
        </is>
      </c>
      <c r="B2" s="9" t="inlineStr">
        <is>
          <t>R0002</t>
        </is>
      </c>
      <c r="C2" s="9" t="inlineStr">
        <is>
          <t>V019</t>
        </is>
      </c>
      <c r="D2" s="24" t="n">
        <v>46314</v>
      </c>
      <c r="E2" s="12" t="n">
        <v>10011978</v>
      </c>
      <c r="F2" s="9" t="inlineStr">
        <is>
          <t>IDR</t>
        </is>
      </c>
      <c r="G2" s="9" t="inlineStr">
        <is>
          <t>received</t>
        </is>
      </c>
    </row>
    <row r="3">
      <c r="A3" s="9" t="inlineStr">
        <is>
          <t>P0002</t>
        </is>
      </c>
      <c r="B3" s="9" t="inlineStr">
        <is>
          <t>R0004</t>
        </is>
      </c>
      <c r="C3" s="9" t="inlineStr">
        <is>
          <t>V008</t>
        </is>
      </c>
      <c r="D3" s="24" t="n">
        <v>46311</v>
      </c>
      <c r="E3" s="12" t="n">
        <v>2386450</v>
      </c>
      <c r="F3" s="9" t="inlineStr">
        <is>
          <t>IDR</t>
        </is>
      </c>
      <c r="G3" s="9" t="inlineStr">
        <is>
          <t>received</t>
        </is>
      </c>
    </row>
    <row r="4">
      <c r="A4" s="9" t="inlineStr">
        <is>
          <t>P0003</t>
        </is>
      </c>
      <c r="B4" s="9" t="inlineStr">
        <is>
          <t>R0006</t>
        </is>
      </c>
      <c r="C4" s="9" t="inlineStr">
        <is>
          <t>V009</t>
        </is>
      </c>
      <c r="D4" s="24" t="n">
        <v>46317</v>
      </c>
      <c r="E4" s="12" t="n">
        <v>10719326</v>
      </c>
      <c r="F4" s="9" t="inlineStr">
        <is>
          <t>IDR</t>
        </is>
      </c>
      <c r="G4" s="9" t="inlineStr">
        <is>
          <t>received</t>
        </is>
      </c>
    </row>
    <row r="5">
      <c r="A5" s="9" t="inlineStr">
        <is>
          <t>P0004</t>
        </is>
      </c>
      <c r="B5" s="9" t="inlineStr">
        <is>
          <t>R0008</t>
        </is>
      </c>
      <c r="C5" s="9" t="inlineStr">
        <is>
          <t>V014</t>
        </is>
      </c>
      <c r="D5" s="24" t="n">
        <v>46327</v>
      </c>
      <c r="E5" s="12" t="n">
        <v>13048995</v>
      </c>
      <c r="F5" s="9" t="inlineStr">
        <is>
          <t>IDR</t>
        </is>
      </c>
      <c r="G5" s="9" t="inlineStr">
        <is>
          <t>received</t>
        </is>
      </c>
    </row>
    <row r="6">
      <c r="A6" s="9" t="inlineStr">
        <is>
          <t>P0005</t>
        </is>
      </c>
      <c r="B6" s="9" t="inlineStr">
        <is>
          <t>R0010</t>
        </is>
      </c>
      <c r="C6" s="9" t="inlineStr">
        <is>
          <t>V005</t>
        </is>
      </c>
      <c r="D6" s="24" t="n">
        <v>46312</v>
      </c>
      <c r="E6" s="12" t="n">
        <v>2473691</v>
      </c>
      <c r="F6" s="9" t="inlineStr">
        <is>
          <t>IDR</t>
        </is>
      </c>
      <c r="G6" s="9" t="inlineStr">
        <is>
          <t>received</t>
        </is>
      </c>
    </row>
    <row r="7">
      <c r="A7" s="9" t="inlineStr">
        <is>
          <t>P0006</t>
        </is>
      </c>
      <c r="B7" s="9" t="inlineStr">
        <is>
          <t>R0012</t>
        </is>
      </c>
      <c r="C7" s="9" t="inlineStr">
        <is>
          <t>V009</t>
        </is>
      </c>
      <c r="D7" s="24" t="n">
        <v>46295</v>
      </c>
      <c r="E7" s="12" t="n">
        <v>11352171</v>
      </c>
      <c r="F7" s="9" t="inlineStr">
        <is>
          <t>IDR</t>
        </is>
      </c>
      <c r="G7" s="9" t="inlineStr">
        <is>
          <t>received</t>
        </is>
      </c>
    </row>
    <row r="8">
      <c r="A8" s="9" t="inlineStr">
        <is>
          <t>P0007</t>
        </is>
      </c>
      <c r="B8" s="9" t="inlineStr">
        <is>
          <t>R0014</t>
        </is>
      </c>
      <c r="C8" s="9" t="inlineStr">
        <is>
          <t>V010</t>
        </is>
      </c>
      <c r="D8" s="24" t="n">
        <v>46296</v>
      </c>
      <c r="E8" s="12" t="n">
        <v>3560967</v>
      </c>
      <c r="F8" s="9" t="inlineStr">
        <is>
          <t>IDR</t>
        </is>
      </c>
      <c r="G8" s="9" t="inlineStr">
        <is>
          <t>received</t>
        </is>
      </c>
    </row>
    <row r="9">
      <c r="A9" s="9" t="inlineStr">
        <is>
          <t>P0008</t>
        </is>
      </c>
      <c r="B9" s="9" t="inlineStr">
        <is>
          <t>R0016</t>
        </is>
      </c>
      <c r="C9" s="9" t="inlineStr">
        <is>
          <t>V016</t>
        </is>
      </c>
      <c r="D9" s="24" t="n">
        <v>46331</v>
      </c>
      <c r="E9" s="12" t="n">
        <v>5601662</v>
      </c>
      <c r="F9" s="9" t="inlineStr">
        <is>
          <t>IDR</t>
        </is>
      </c>
      <c r="G9" s="9" t="inlineStr">
        <is>
          <t>received</t>
        </is>
      </c>
    </row>
    <row r="10">
      <c r="A10" s="9" t="inlineStr">
        <is>
          <t>P0009</t>
        </is>
      </c>
      <c r="B10" s="9" t="inlineStr">
        <is>
          <t>R0018</t>
        </is>
      </c>
      <c r="C10" s="9" t="inlineStr">
        <is>
          <t>V013</t>
        </is>
      </c>
      <c r="D10" s="24" t="n">
        <v>46300</v>
      </c>
      <c r="E10" s="12" t="n">
        <v>12741209</v>
      </c>
      <c r="F10" s="9" t="inlineStr">
        <is>
          <t>IDR</t>
        </is>
      </c>
      <c r="G10" s="9" t="inlineStr">
        <is>
          <t>received</t>
        </is>
      </c>
    </row>
    <row r="11">
      <c r="A11" s="9" t="inlineStr">
        <is>
          <t>P0010</t>
        </is>
      </c>
      <c r="B11" s="9" t="inlineStr">
        <is>
          <t>R0020</t>
        </is>
      </c>
      <c r="C11" s="9" t="inlineStr">
        <is>
          <t>V011</t>
        </is>
      </c>
      <c r="D11" s="24" t="n">
        <v>46284</v>
      </c>
      <c r="E11" s="12" t="n">
        <v>2990297</v>
      </c>
      <c r="F11" s="9" t="inlineStr">
        <is>
          <t>IDR</t>
        </is>
      </c>
      <c r="G11" s="9" t="inlineStr">
        <is>
          <t>received</t>
        </is>
      </c>
    </row>
    <row r="12">
      <c r="A12" s="9" t="inlineStr">
        <is>
          <t>P0011</t>
        </is>
      </c>
      <c r="B12" s="9" t="inlineStr">
        <is>
          <t>R0022</t>
        </is>
      </c>
      <c r="C12" s="9" t="inlineStr">
        <is>
          <t>V005</t>
        </is>
      </c>
      <c r="D12" s="24" t="n">
        <v>46301</v>
      </c>
      <c r="E12" s="12" t="n">
        <v>11959870</v>
      </c>
      <c r="F12" s="9" t="inlineStr">
        <is>
          <t>IDR</t>
        </is>
      </c>
      <c r="G12" s="9" t="inlineStr">
        <is>
          <t>received</t>
        </is>
      </c>
    </row>
    <row r="13">
      <c r="A13" s="9" t="inlineStr">
        <is>
          <t>P0012</t>
        </is>
      </c>
      <c r="B13" s="9" t="inlineStr">
        <is>
          <t>R0024</t>
        </is>
      </c>
      <c r="C13" s="9" t="inlineStr">
        <is>
          <t>V004</t>
        </is>
      </c>
      <c r="D13" s="24" t="n">
        <v>46292</v>
      </c>
      <c r="E13" s="12" t="n">
        <v>8362426</v>
      </c>
      <c r="F13" s="9" t="inlineStr">
        <is>
          <t>IDR</t>
        </is>
      </c>
      <c r="G13" s="9" t="inlineStr">
        <is>
          <t>received</t>
        </is>
      </c>
    </row>
    <row r="14">
      <c r="A14" s="9" t="inlineStr">
        <is>
          <t>P0013</t>
        </is>
      </c>
      <c r="B14" s="9" t="inlineStr">
        <is>
          <t>R0026</t>
        </is>
      </c>
      <c r="C14" s="9" t="inlineStr">
        <is>
          <t>V003</t>
        </is>
      </c>
      <c r="D14" s="24" t="n">
        <v>46312</v>
      </c>
      <c r="E14" s="12" t="n">
        <v>10203970</v>
      </c>
      <c r="F14" s="9" t="inlineStr">
        <is>
          <t>IDR</t>
        </is>
      </c>
      <c r="G14" s="9" t="inlineStr">
        <is>
          <t>received</t>
        </is>
      </c>
    </row>
    <row r="15">
      <c r="A15" s="9" t="inlineStr">
        <is>
          <t>P0014</t>
        </is>
      </c>
      <c r="B15" s="9" t="inlineStr">
        <is>
          <t>R0028</t>
        </is>
      </c>
      <c r="C15" s="9" t="inlineStr">
        <is>
          <t>V020</t>
        </is>
      </c>
      <c r="D15" s="24" t="n">
        <v>46291</v>
      </c>
      <c r="E15" s="12" t="n">
        <v>6328208</v>
      </c>
      <c r="F15" s="9" t="inlineStr">
        <is>
          <t>IDR</t>
        </is>
      </c>
      <c r="G15" s="9" t="inlineStr">
        <is>
          <t>received</t>
        </is>
      </c>
    </row>
    <row r="16">
      <c r="A16" s="9" t="inlineStr">
        <is>
          <t>P0015</t>
        </is>
      </c>
      <c r="B16" s="9" t="inlineStr">
        <is>
          <t>R0030</t>
        </is>
      </c>
      <c r="C16" s="9" t="inlineStr">
        <is>
          <t>V001</t>
        </is>
      </c>
      <c r="D16" s="24" t="n">
        <v>46286</v>
      </c>
      <c r="E16" s="12" t="n">
        <v>8602870</v>
      </c>
      <c r="F16" s="9" t="inlineStr">
        <is>
          <t>IDR</t>
        </is>
      </c>
      <c r="G16" s="9" t="inlineStr">
        <is>
          <t>received</t>
        </is>
      </c>
    </row>
    <row r="17">
      <c r="A17" s="9" t="inlineStr">
        <is>
          <t>P0016</t>
        </is>
      </c>
      <c r="B17" s="9" t="inlineStr">
        <is>
          <t>R0032</t>
        </is>
      </c>
      <c r="C17" s="9" t="inlineStr">
        <is>
          <t>V020</t>
        </is>
      </c>
      <c r="D17" s="24" t="n">
        <v>46275</v>
      </c>
      <c r="E17" s="12" t="n">
        <v>7058374</v>
      </c>
      <c r="F17" s="9" t="inlineStr">
        <is>
          <t>IDR</t>
        </is>
      </c>
      <c r="G17" s="9" t="inlineStr">
        <is>
          <t>received</t>
        </is>
      </c>
    </row>
    <row r="18">
      <c r="A18" s="9" t="inlineStr">
        <is>
          <t>P0017</t>
        </is>
      </c>
      <c r="B18" s="9" t="inlineStr">
        <is>
          <t>R0034</t>
        </is>
      </c>
      <c r="C18" s="9" t="inlineStr">
        <is>
          <t>V999</t>
        </is>
      </c>
      <c r="D18" s="24" t="n">
        <v>46315</v>
      </c>
      <c r="E18" s="12" t="n">
        <v>12727390</v>
      </c>
      <c r="F18" s="9" t="inlineStr">
        <is>
          <t>IDR</t>
        </is>
      </c>
      <c r="G18" s="9" t="inlineStr">
        <is>
          <t>received</t>
        </is>
      </c>
    </row>
    <row r="19">
      <c r="A19" s="9" t="inlineStr">
        <is>
          <t>P0018</t>
        </is>
      </c>
      <c r="B19" s="9" t="inlineStr">
        <is>
          <t>R0036</t>
        </is>
      </c>
      <c r="C19" s="9" t="inlineStr">
        <is>
          <t>V009</t>
        </is>
      </c>
      <c r="D19" s="24" t="n">
        <v>46325</v>
      </c>
      <c r="E19" s="12" t="n">
        <v>2640612</v>
      </c>
      <c r="F19" s="9" t="inlineStr">
        <is>
          <t>IDR</t>
        </is>
      </c>
      <c r="G19" s="9" t="inlineStr">
        <is>
          <t>received</t>
        </is>
      </c>
    </row>
    <row r="20">
      <c r="A20" s="9" t="inlineStr">
        <is>
          <t>P0019</t>
        </is>
      </c>
      <c r="B20" s="9" t="inlineStr">
        <is>
          <t>R0038</t>
        </is>
      </c>
      <c r="C20" s="9" t="inlineStr">
        <is>
          <t>V017</t>
        </is>
      </c>
      <c r="D20" s="24" t="n">
        <v>46310</v>
      </c>
      <c r="E20" s="12" t="n">
        <v>4649256</v>
      </c>
      <c r="F20" s="9" t="inlineStr">
        <is>
          <t>IDR</t>
        </is>
      </c>
      <c r="G20" s="9" t="inlineStr">
        <is>
          <t>received</t>
        </is>
      </c>
    </row>
    <row r="21">
      <c r="A21" s="9" t="inlineStr">
        <is>
          <t>P0020</t>
        </is>
      </c>
      <c r="B21" s="9" t="inlineStr">
        <is>
          <t>R0040</t>
        </is>
      </c>
      <c r="C21" s="9" t="inlineStr">
        <is>
          <t>V012</t>
        </is>
      </c>
      <c r="D21" s="24" t="n">
        <v>46280</v>
      </c>
      <c r="E21" s="12" t="n">
        <v>7819170</v>
      </c>
      <c r="F21" s="9" t="inlineStr">
        <is>
          <t>IDR</t>
        </is>
      </c>
      <c r="G21" s="9" t="inlineStr">
        <is>
          <t>received</t>
        </is>
      </c>
    </row>
    <row r="22">
      <c r="A22" s="9" t="inlineStr">
        <is>
          <t>P0021</t>
        </is>
      </c>
      <c r="B22" s="9" t="inlineStr">
        <is>
          <t>R0042</t>
        </is>
      </c>
      <c r="C22" s="9" t="inlineStr">
        <is>
          <t>V008</t>
        </is>
      </c>
      <c r="D22" s="24" t="n">
        <v>46323</v>
      </c>
      <c r="E22" s="12" t="n">
        <v>12201755</v>
      </c>
      <c r="F22" s="9" t="inlineStr">
        <is>
          <t>IDR</t>
        </is>
      </c>
      <c r="G22" s="9" t="inlineStr">
        <is>
          <t>received</t>
        </is>
      </c>
    </row>
    <row r="23">
      <c r="A23" s="9" t="inlineStr">
        <is>
          <t>P0022</t>
        </is>
      </c>
      <c r="B23" s="9" t="inlineStr">
        <is>
          <t>R0044</t>
        </is>
      </c>
      <c r="C23" s="9" t="inlineStr">
        <is>
          <t>V016</t>
        </is>
      </c>
      <c r="D23" s="24" t="n">
        <v>46311</v>
      </c>
      <c r="E23" s="12" t="n">
        <v>5729286</v>
      </c>
      <c r="F23" s="9" t="inlineStr">
        <is>
          <t>IDR</t>
        </is>
      </c>
      <c r="G23" s="9" t="inlineStr">
        <is>
          <t>received</t>
        </is>
      </c>
    </row>
    <row r="24">
      <c r="A24" s="9" t="inlineStr">
        <is>
          <t>P0023</t>
        </is>
      </c>
      <c r="B24" s="9" t="inlineStr">
        <is>
          <t>R0046</t>
        </is>
      </c>
      <c r="C24" s="9" t="inlineStr">
        <is>
          <t>V016</t>
        </is>
      </c>
      <c r="D24" s="24" t="n">
        <v>46277</v>
      </c>
      <c r="E24" s="12" t="n">
        <v>6502650</v>
      </c>
      <c r="F24" s="9" t="inlineStr">
        <is>
          <t>IDR</t>
        </is>
      </c>
      <c r="G24" s="9" t="inlineStr">
        <is>
          <t>received</t>
        </is>
      </c>
    </row>
    <row r="25">
      <c r="A25" s="9" t="inlineStr">
        <is>
          <t>P0024</t>
        </is>
      </c>
      <c r="B25" s="9" t="inlineStr">
        <is>
          <t>R0048</t>
        </is>
      </c>
      <c r="C25" s="9" t="inlineStr">
        <is>
          <t>V002</t>
        </is>
      </c>
      <c r="D25" s="24" t="n">
        <v>46315</v>
      </c>
      <c r="E25" s="12" t="n">
        <v>12051685</v>
      </c>
      <c r="F25" s="9" t="inlineStr">
        <is>
          <t>IDR</t>
        </is>
      </c>
      <c r="G25" s="9" t="inlineStr">
        <is>
          <t>received</t>
        </is>
      </c>
    </row>
    <row r="26">
      <c r="A26" s="9" t="inlineStr">
        <is>
          <t>P0025</t>
        </is>
      </c>
      <c r="B26" s="9" t="inlineStr">
        <is>
          <t>R0050</t>
        </is>
      </c>
      <c r="C26" s="9" t="inlineStr">
        <is>
          <t>V014</t>
        </is>
      </c>
      <c r="D26" s="24" t="n">
        <v>46317</v>
      </c>
      <c r="E26" s="12" t="n">
        <v>6723326</v>
      </c>
      <c r="F26" s="9" t="inlineStr">
        <is>
          <t>IDR</t>
        </is>
      </c>
      <c r="G26" s="9" t="inlineStr">
        <is>
          <t>received</t>
        </is>
      </c>
    </row>
    <row r="27">
      <c r="A27" s="9" t="inlineStr">
        <is>
          <t>P0026</t>
        </is>
      </c>
      <c r="B27" s="9" t="inlineStr">
        <is>
          <t>R0052</t>
        </is>
      </c>
      <c r="C27" s="9" t="inlineStr">
        <is>
          <t>V006</t>
        </is>
      </c>
      <c r="D27" s="24" t="n">
        <v>46321</v>
      </c>
      <c r="E27" s="12" t="n">
        <v>9452250</v>
      </c>
      <c r="F27" s="9" t="inlineStr">
        <is>
          <t>IDR</t>
        </is>
      </c>
      <c r="G27" s="9" t="inlineStr">
        <is>
          <t>received</t>
        </is>
      </c>
    </row>
    <row r="28">
      <c r="A28" s="9" t="inlineStr">
        <is>
          <t>P0027</t>
        </is>
      </c>
      <c r="B28" s="9" t="inlineStr">
        <is>
          <t>R0054</t>
        </is>
      </c>
      <c r="C28" s="9" t="inlineStr">
        <is>
          <t>V013</t>
        </is>
      </c>
      <c r="D28" s="24" t="n">
        <v>46277</v>
      </c>
      <c r="E28" s="12" t="n">
        <v>5847575</v>
      </c>
      <c r="F28" s="9" t="inlineStr">
        <is>
          <t>IDR</t>
        </is>
      </c>
      <c r="G28" s="9" t="inlineStr">
        <is>
          <t>received</t>
        </is>
      </c>
    </row>
    <row r="29">
      <c r="A29" s="9" t="inlineStr">
        <is>
          <t>P0028</t>
        </is>
      </c>
      <c r="B29" s="9" t="inlineStr">
        <is>
          <t>R0056</t>
        </is>
      </c>
      <c r="C29" s="9" t="inlineStr">
        <is>
          <t>V008</t>
        </is>
      </c>
      <c r="D29" s="24" t="n">
        <v>46298</v>
      </c>
      <c r="E29" s="12" t="n">
        <v>4949263</v>
      </c>
      <c r="F29" s="9" t="inlineStr">
        <is>
          <t>IDR</t>
        </is>
      </c>
      <c r="G29" s="9" t="inlineStr">
        <is>
          <t>received</t>
        </is>
      </c>
    </row>
    <row r="30">
      <c r="A30" s="9" t="inlineStr">
        <is>
          <t>P0029</t>
        </is>
      </c>
      <c r="B30" s="9" t="inlineStr">
        <is>
          <t>R0058</t>
        </is>
      </c>
      <c r="C30" s="9" t="inlineStr">
        <is>
          <t>V006</t>
        </is>
      </c>
      <c r="D30" s="24" t="n">
        <v>46297</v>
      </c>
      <c r="E30" s="12" t="n">
        <v>9982213</v>
      </c>
      <c r="F30" s="9" t="inlineStr">
        <is>
          <t>IDR</t>
        </is>
      </c>
      <c r="G30" s="9" t="inlineStr">
        <is>
          <t>received</t>
        </is>
      </c>
    </row>
    <row r="31">
      <c r="A31" s="9" t="inlineStr">
        <is>
          <t>P0030</t>
        </is>
      </c>
      <c r="B31" s="9" t="inlineStr">
        <is>
          <t>R0060</t>
        </is>
      </c>
      <c r="C31" s="9" t="inlineStr">
        <is>
          <t>V016</t>
        </is>
      </c>
      <c r="D31" s="24" t="n">
        <v>46274</v>
      </c>
      <c r="E31" s="12" t="n">
        <v>11518702</v>
      </c>
      <c r="F31" s="9" t="inlineStr">
        <is>
          <t>IDR</t>
        </is>
      </c>
      <c r="G31" s="9" t="inlineStr">
        <is>
          <t>received</t>
        </is>
      </c>
    </row>
    <row r="32">
      <c r="A32" s="9" t="inlineStr">
        <is>
          <t>P0031</t>
        </is>
      </c>
      <c r="B32" s="9" t="inlineStr">
        <is>
          <t>R0062</t>
        </is>
      </c>
      <c r="C32" s="9" t="inlineStr">
        <is>
          <t>V013</t>
        </is>
      </c>
      <c r="D32" s="24" t="n">
        <v>46319</v>
      </c>
      <c r="E32" s="12" t="n">
        <v>9890327</v>
      </c>
      <c r="F32" s="9" t="inlineStr">
        <is>
          <t>IDR</t>
        </is>
      </c>
      <c r="G32" s="9" t="inlineStr">
        <is>
          <t>received</t>
        </is>
      </c>
    </row>
    <row r="33">
      <c r="A33" s="9" t="inlineStr">
        <is>
          <t>P0032</t>
        </is>
      </c>
      <c r="B33" s="9" t="inlineStr">
        <is>
          <t>R0064</t>
        </is>
      </c>
      <c r="C33" s="9" t="inlineStr">
        <is>
          <t>V006</t>
        </is>
      </c>
      <c r="D33" s="24" t="n">
        <v>46271</v>
      </c>
      <c r="E33" s="12" t="n">
        <v>7410300</v>
      </c>
      <c r="F33" s="9" t="inlineStr">
        <is>
          <t>IDR</t>
        </is>
      </c>
      <c r="G33" s="9" t="inlineStr">
        <is>
          <t>received</t>
        </is>
      </c>
    </row>
    <row r="34">
      <c r="A34" s="9" t="inlineStr">
        <is>
          <t>P0033</t>
        </is>
      </c>
      <c r="B34" s="9" t="inlineStr">
        <is>
          <t>R0066</t>
        </is>
      </c>
      <c r="C34" s="9" t="inlineStr">
        <is>
          <t>V009</t>
        </is>
      </c>
      <c r="D34" s="24" t="n">
        <v>46279</v>
      </c>
      <c r="E34" s="12" t="n">
        <v>3163480</v>
      </c>
      <c r="F34" s="9" t="inlineStr">
        <is>
          <t>IDR</t>
        </is>
      </c>
      <c r="G34" s="9" t="inlineStr">
        <is>
          <t>received</t>
        </is>
      </c>
    </row>
    <row r="35">
      <c r="A35" s="9" t="inlineStr">
        <is>
          <t>P0034</t>
        </is>
      </c>
      <c r="B35" s="9" t="inlineStr">
        <is>
          <t>R0068</t>
        </is>
      </c>
      <c r="C35" s="9" t="inlineStr">
        <is>
          <t>V007</t>
        </is>
      </c>
      <c r="D35" s="24" t="n">
        <v>46277</v>
      </c>
      <c r="E35" s="12" t="n">
        <v>12414755</v>
      </c>
      <c r="F35" s="9" t="inlineStr">
        <is>
          <t>IDR</t>
        </is>
      </c>
      <c r="G35" s="9" t="inlineStr">
        <is>
          <t>received</t>
        </is>
      </c>
    </row>
    <row r="36">
      <c r="A36" s="9" t="inlineStr">
        <is>
          <t>P0035</t>
        </is>
      </c>
      <c r="B36" s="9" t="inlineStr">
        <is>
          <t>R0070</t>
        </is>
      </c>
      <c r="C36" s="9" t="inlineStr">
        <is>
          <t>V009</t>
        </is>
      </c>
      <c r="D36" s="24" t="n">
        <v>46288</v>
      </c>
      <c r="E36" s="12" t="n">
        <v>8652924</v>
      </c>
      <c r="F36" s="9" t="inlineStr">
        <is>
          <t>IDR</t>
        </is>
      </c>
      <c r="G36" s="9" t="inlineStr">
        <is>
          <t>received</t>
        </is>
      </c>
    </row>
    <row r="37">
      <c r="A37" s="9" t="inlineStr">
        <is>
          <t>P0036</t>
        </is>
      </c>
      <c r="B37" s="9" t="inlineStr">
        <is>
          <t>R0072</t>
        </is>
      </c>
      <c r="C37" s="9" t="inlineStr">
        <is>
          <t>V020</t>
        </is>
      </c>
      <c r="D37" s="24" t="n">
        <v>46308</v>
      </c>
      <c r="E37" s="12" t="n">
        <v>0</v>
      </c>
      <c r="F37" s="9" t="inlineStr">
        <is>
          <t>IDR</t>
        </is>
      </c>
      <c r="G37" s="9" t="inlineStr">
        <is>
          <t>received</t>
        </is>
      </c>
    </row>
    <row r="38">
      <c r="A38" s="9" t="inlineStr">
        <is>
          <t>P0037</t>
        </is>
      </c>
      <c r="B38" s="9" t="inlineStr">
        <is>
          <t>R0074</t>
        </is>
      </c>
      <c r="C38" s="9" t="inlineStr">
        <is>
          <t>V017</t>
        </is>
      </c>
      <c r="D38" s="24" t="n">
        <v>46277</v>
      </c>
      <c r="E38" s="12" t="n">
        <v>11607263</v>
      </c>
      <c r="F38" s="9" t="inlineStr">
        <is>
          <t>IDR</t>
        </is>
      </c>
      <c r="G38" s="9" t="inlineStr">
        <is>
          <t>received</t>
        </is>
      </c>
    </row>
    <row r="39">
      <c r="A39" s="9" t="inlineStr">
        <is>
          <t>P0038</t>
        </is>
      </c>
      <c r="B39" s="9" t="inlineStr">
        <is>
          <t>R0076</t>
        </is>
      </c>
      <c r="C39" s="9" t="inlineStr">
        <is>
          <t>V010</t>
        </is>
      </c>
      <c r="D39" s="24" t="n">
        <v>46275</v>
      </c>
      <c r="E39" s="12" t="n">
        <v>5755777</v>
      </c>
      <c r="F39" s="9" t="inlineStr">
        <is>
          <t>IDR</t>
        </is>
      </c>
      <c r="G39" s="9" t="inlineStr">
        <is>
          <t>received</t>
        </is>
      </c>
    </row>
    <row r="40">
      <c r="A40" s="9" t="inlineStr">
        <is>
          <t>P0039</t>
        </is>
      </c>
      <c r="B40" s="9" t="inlineStr">
        <is>
          <t>R0078</t>
        </is>
      </c>
      <c r="C40" s="9" t="inlineStr">
        <is>
          <t>V001</t>
        </is>
      </c>
      <c r="D40" s="24" t="n">
        <v>46296</v>
      </c>
      <c r="E40" s="12" t="n">
        <v>5457173</v>
      </c>
      <c r="F40" s="9" t="inlineStr">
        <is>
          <t>IDR</t>
        </is>
      </c>
      <c r="G40" s="9" t="inlineStr">
        <is>
          <t>received</t>
        </is>
      </c>
    </row>
    <row r="41">
      <c r="A41" s="9" t="inlineStr">
        <is>
          <t>P0040</t>
        </is>
      </c>
      <c r="B41" s="9" t="inlineStr">
        <is>
          <t>R0080</t>
        </is>
      </c>
      <c r="C41" s="9" t="inlineStr">
        <is>
          <t>V008</t>
        </is>
      </c>
      <c r="D41" s="24" t="n">
        <v>46278</v>
      </c>
      <c r="E41" s="12" t="n">
        <v>5192436</v>
      </c>
      <c r="F41" s="9" t="inlineStr">
        <is>
          <t>IDR</t>
        </is>
      </c>
      <c r="G41" s="9" t="inlineStr">
        <is>
          <t>received</t>
        </is>
      </c>
    </row>
    <row r="42">
      <c r="A42" s="9" t="inlineStr">
        <is>
          <t>P0041</t>
        </is>
      </c>
      <c r="B42" s="9" t="inlineStr">
        <is>
          <t>R0082</t>
        </is>
      </c>
      <c r="C42" s="9" t="inlineStr">
        <is>
          <t>V016</t>
        </is>
      </c>
      <c r="D42" s="24" t="n">
        <v>46293</v>
      </c>
      <c r="E42" s="12" t="n">
        <v>3302065</v>
      </c>
      <c r="F42" s="9" t="inlineStr">
        <is>
          <t>IDR</t>
        </is>
      </c>
      <c r="G42" s="9" t="inlineStr">
        <is>
          <t>received</t>
        </is>
      </c>
    </row>
    <row r="43">
      <c r="A43" s="9" t="inlineStr">
        <is>
          <t>P0042</t>
        </is>
      </c>
      <c r="B43" s="9" t="inlineStr">
        <is>
          <t>R0084</t>
        </is>
      </c>
      <c r="C43" s="9" t="inlineStr">
        <is>
          <t>V004</t>
        </is>
      </c>
      <c r="D43" s="24" t="n">
        <v>46316</v>
      </c>
      <c r="E43" s="12" t="n">
        <v>8443124</v>
      </c>
      <c r="F43" s="9" t="inlineStr">
        <is>
          <t>IDR</t>
        </is>
      </c>
      <c r="G43" s="9" t="inlineStr">
        <is>
          <t>received</t>
        </is>
      </c>
    </row>
    <row r="44">
      <c r="A44" s="9" t="inlineStr">
        <is>
          <t>P0043</t>
        </is>
      </c>
      <c r="B44" s="9" t="inlineStr">
        <is>
          <t>R0086</t>
        </is>
      </c>
      <c r="C44" s="9" t="inlineStr">
        <is>
          <t>V001</t>
        </is>
      </c>
      <c r="D44" s="24" t="n">
        <v>46281</v>
      </c>
      <c r="E44" s="12" t="n">
        <v>10221120</v>
      </c>
      <c r="F44" s="9" t="inlineStr">
        <is>
          <t>IDR</t>
        </is>
      </c>
      <c r="G44" s="9" t="inlineStr">
        <is>
          <t>received</t>
        </is>
      </c>
    </row>
    <row r="45">
      <c r="A45" s="9" t="inlineStr">
        <is>
          <t>P0044</t>
        </is>
      </c>
      <c r="B45" s="9" t="inlineStr">
        <is>
          <t>R0088</t>
        </is>
      </c>
      <c r="C45" s="9" t="inlineStr">
        <is>
          <t>V005</t>
        </is>
      </c>
      <c r="D45" s="24" t="n">
        <v>46311</v>
      </c>
      <c r="E45" s="12" t="n">
        <v>10674143</v>
      </c>
      <c r="F45" s="9" t="inlineStr">
        <is>
          <t>IDR</t>
        </is>
      </c>
      <c r="G45" s="9" t="inlineStr">
        <is>
          <t>received</t>
        </is>
      </c>
    </row>
    <row r="46">
      <c r="A46" s="9" t="inlineStr">
        <is>
          <t>P0045</t>
        </is>
      </c>
      <c r="B46" s="9" t="inlineStr">
        <is>
          <t>R0090</t>
        </is>
      </c>
      <c r="C46" s="9" t="inlineStr">
        <is>
          <t>V013</t>
        </is>
      </c>
      <c r="D46" s="24" t="n">
        <v>46294</v>
      </c>
      <c r="E46" s="12" t="n">
        <v>4973557</v>
      </c>
      <c r="F46" s="9" t="inlineStr">
        <is>
          <t>IDR</t>
        </is>
      </c>
      <c r="G46" s="9" t="inlineStr">
        <is>
          <t>received</t>
        </is>
      </c>
    </row>
    <row r="47">
      <c r="A47" s="9" t="inlineStr">
        <is>
          <t>P0046</t>
        </is>
      </c>
      <c r="B47" s="9" t="inlineStr">
        <is>
          <t>R0092</t>
        </is>
      </c>
      <c r="C47" s="9" t="inlineStr">
        <is>
          <t>V017</t>
        </is>
      </c>
      <c r="D47" s="24" t="n">
        <v>46281</v>
      </c>
      <c r="E47" s="12" t="n">
        <v>12004933</v>
      </c>
      <c r="F47" s="9" t="inlineStr">
        <is>
          <t>IDR</t>
        </is>
      </c>
      <c r="G47" s="9" t="inlineStr">
        <is>
          <t>received</t>
        </is>
      </c>
    </row>
    <row r="48">
      <c r="A48" s="9" t="inlineStr">
        <is>
          <t>P0047</t>
        </is>
      </c>
      <c r="B48" s="9" t="inlineStr">
        <is>
          <t>R0094</t>
        </is>
      </c>
      <c r="C48" s="9" t="inlineStr">
        <is>
          <t>V016</t>
        </is>
      </c>
      <c r="D48" s="24" t="n">
        <v>46300</v>
      </c>
      <c r="E48" s="12" t="n">
        <v>3503240</v>
      </c>
      <c r="F48" s="9" t="inlineStr">
        <is>
          <t>IDR</t>
        </is>
      </c>
      <c r="G48" s="9" t="inlineStr">
        <is>
          <t>received</t>
        </is>
      </c>
    </row>
    <row r="49">
      <c r="A49" s="9" t="inlineStr">
        <is>
          <t>P0048</t>
        </is>
      </c>
      <c r="B49" s="9" t="inlineStr">
        <is>
          <t>R0096</t>
        </is>
      </c>
      <c r="C49" s="9" t="inlineStr">
        <is>
          <t>V003</t>
        </is>
      </c>
      <c r="D49" s="24" t="n">
        <v>46272</v>
      </c>
      <c r="E49" s="12" t="n">
        <v>5957178</v>
      </c>
      <c r="F49" s="9" t="inlineStr">
        <is>
          <t>IDR</t>
        </is>
      </c>
      <c r="G49" s="9" t="inlineStr">
        <is>
          <t>received</t>
        </is>
      </c>
    </row>
    <row r="50">
      <c r="A50" s="9" t="inlineStr">
        <is>
          <t>P0049</t>
        </is>
      </c>
      <c r="B50" s="9" t="inlineStr">
        <is>
          <t>R0098</t>
        </is>
      </c>
      <c r="C50" s="9" t="inlineStr">
        <is>
          <t>V005</t>
        </is>
      </c>
      <c r="D50" s="24" t="n">
        <v>46284</v>
      </c>
      <c r="E50" s="12" t="n">
        <v>10816943</v>
      </c>
      <c r="F50" s="9" t="inlineStr">
        <is>
          <t>IDR</t>
        </is>
      </c>
      <c r="G50" s="9" t="inlineStr">
        <is>
          <t>received</t>
        </is>
      </c>
    </row>
    <row r="51">
      <c r="A51" s="9" t="inlineStr">
        <is>
          <t>P0050</t>
        </is>
      </c>
      <c r="B51" s="9" t="inlineStr">
        <is>
          <t>R0100</t>
        </is>
      </c>
      <c r="C51" s="9" t="inlineStr">
        <is>
          <t>V004</t>
        </is>
      </c>
      <c r="D51" s="24" t="n">
        <v>46317</v>
      </c>
      <c r="E51" s="12" t="n">
        <v>11763133</v>
      </c>
      <c r="F51" s="9" t="inlineStr">
        <is>
          <t>IDR</t>
        </is>
      </c>
      <c r="G51" s="9" t="inlineStr">
        <is>
          <t>received</t>
        </is>
      </c>
    </row>
    <row r="52">
      <c r="A52" s="9" t="inlineStr">
        <is>
          <t>P0051</t>
        </is>
      </c>
      <c r="B52" s="9" t="inlineStr">
        <is>
          <t>R0102</t>
        </is>
      </c>
      <c r="C52" s="9" t="inlineStr">
        <is>
          <t>V003</t>
        </is>
      </c>
      <c r="D52" s="24" t="n">
        <v>46277</v>
      </c>
      <c r="E52" s="12" t="n">
        <v>3998667</v>
      </c>
      <c r="F52" s="9" t="inlineStr">
        <is>
          <t>IDR</t>
        </is>
      </c>
      <c r="G52" s="9" t="inlineStr">
        <is>
          <t>received</t>
        </is>
      </c>
    </row>
    <row r="53">
      <c r="A53" s="9" t="inlineStr">
        <is>
          <t>P0052</t>
        </is>
      </c>
      <c r="B53" s="9" t="inlineStr">
        <is>
          <t>R0104</t>
        </is>
      </c>
      <c r="C53" s="9" t="inlineStr">
        <is>
          <t>V018</t>
        </is>
      </c>
      <c r="D53" s="24" t="n">
        <v>46284</v>
      </c>
      <c r="E53" s="12" t="n">
        <v>9256372</v>
      </c>
      <c r="F53" s="9" t="inlineStr">
        <is>
          <t>IDR</t>
        </is>
      </c>
      <c r="G53" s="9" t="inlineStr">
        <is>
          <t>received</t>
        </is>
      </c>
    </row>
    <row r="54">
      <c r="A54" s="9" t="inlineStr">
        <is>
          <t>P0053</t>
        </is>
      </c>
      <c r="B54" s="9" t="inlineStr">
        <is>
          <t>R0106</t>
        </is>
      </c>
      <c r="C54" s="9" t="inlineStr">
        <is>
          <t>V016</t>
        </is>
      </c>
      <c r="D54" s="24" t="n">
        <v>46297</v>
      </c>
      <c r="E54" s="12" t="n">
        <v>8964553</v>
      </c>
      <c r="F54" s="9" t="inlineStr">
        <is>
          <t>IDR</t>
        </is>
      </c>
      <c r="G54" s="9" t="inlineStr">
        <is>
          <t>received</t>
        </is>
      </c>
    </row>
    <row r="55">
      <c r="A55" s="9" t="inlineStr">
        <is>
          <t>P0054</t>
        </is>
      </c>
      <c r="B55" s="9" t="inlineStr">
        <is>
          <t>R0108</t>
        </is>
      </c>
      <c r="C55" s="9" t="inlineStr">
        <is>
          <t>V004</t>
        </is>
      </c>
      <c r="D55" s="24" t="n">
        <v>46271</v>
      </c>
      <c r="E55" s="12" t="n">
        <v>4286321</v>
      </c>
      <c r="F55" s="9" t="inlineStr">
        <is>
          <t>IDR</t>
        </is>
      </c>
      <c r="G55" s="9" t="inlineStr">
        <is>
          <t>received</t>
        </is>
      </c>
    </row>
    <row r="56">
      <c r="A56" s="9" t="inlineStr">
        <is>
          <t>P0055</t>
        </is>
      </c>
      <c r="B56" s="9" t="inlineStr">
        <is>
          <t>R0110</t>
        </is>
      </c>
      <c r="C56" s="9" t="inlineStr">
        <is>
          <t>V011</t>
        </is>
      </c>
      <c r="D56" s="24" t="n">
        <v>46285</v>
      </c>
      <c r="E56" s="12" t="n">
        <v>7312184</v>
      </c>
      <c r="F56" s="9" t="inlineStr">
        <is>
          <t>IDR</t>
        </is>
      </c>
      <c r="G56" s="9" t="inlineStr">
        <is>
          <t>received</t>
        </is>
      </c>
    </row>
    <row r="57">
      <c r="A57" s="9" t="inlineStr">
        <is>
          <t>P0056</t>
        </is>
      </c>
      <c r="B57" s="9" t="inlineStr">
        <is>
          <t>R0112</t>
        </is>
      </c>
      <c r="C57" s="9" t="inlineStr">
        <is>
          <t>V008</t>
        </is>
      </c>
      <c r="D57" s="24" t="n">
        <v>46294</v>
      </c>
      <c r="E57" s="12" t="n">
        <v>2157045</v>
      </c>
      <c r="F57" s="9" t="inlineStr">
        <is>
          <t>IDR</t>
        </is>
      </c>
      <c r="G57" s="9" t="inlineStr">
        <is>
          <t>received</t>
        </is>
      </c>
    </row>
    <row r="58">
      <c r="A58" s="9" t="inlineStr">
        <is>
          <t>P0057</t>
        </is>
      </c>
      <c r="B58" s="9" t="inlineStr">
        <is>
          <t>R0114</t>
        </is>
      </c>
      <c r="C58" s="9" t="inlineStr">
        <is>
          <t>V019</t>
        </is>
      </c>
      <c r="D58" s="24" t="n">
        <v>46297</v>
      </c>
      <c r="E58" s="12" t="n">
        <v>10346813</v>
      </c>
      <c r="F58" s="9" t="inlineStr">
        <is>
          <t>IDR</t>
        </is>
      </c>
      <c r="G58" s="9" t="inlineStr">
        <is>
          <t>received</t>
        </is>
      </c>
    </row>
    <row r="59">
      <c r="A59" s="9" t="inlineStr">
        <is>
          <t>P0058</t>
        </is>
      </c>
      <c r="B59" s="9" t="inlineStr">
        <is>
          <t>R0116</t>
        </is>
      </c>
      <c r="C59" s="9" t="inlineStr">
        <is>
          <t>V020</t>
        </is>
      </c>
      <c r="D59" s="24" t="n">
        <v>46293</v>
      </c>
      <c r="E59" s="12" t="n">
        <v>7731286</v>
      </c>
      <c r="F59" s="9" t="inlineStr">
        <is>
          <t>IDR</t>
        </is>
      </c>
      <c r="G59" s="9" t="inlineStr">
        <is>
          <t>received</t>
        </is>
      </c>
    </row>
    <row r="60">
      <c r="A60" s="9" t="inlineStr">
        <is>
          <t>P0059</t>
        </is>
      </c>
      <c r="B60" s="9" t="inlineStr">
        <is>
          <t>R0118</t>
        </is>
      </c>
      <c r="C60" s="9" t="inlineStr">
        <is>
          <t>V020</t>
        </is>
      </c>
      <c r="D60" s="24" t="n">
        <v>46283</v>
      </c>
      <c r="E60" s="12" t="n">
        <v>7947911</v>
      </c>
      <c r="F60" s="9" t="inlineStr">
        <is>
          <t>IDR</t>
        </is>
      </c>
      <c r="G60" s="9" t="inlineStr">
        <is>
          <t>received</t>
        </is>
      </c>
    </row>
    <row r="61">
      <c r="A61" s="9" t="inlineStr">
        <is>
          <t>P0060</t>
        </is>
      </c>
      <c r="B61" s="9" t="inlineStr">
        <is>
          <t>R0120</t>
        </is>
      </c>
      <c r="C61" s="9" t="inlineStr">
        <is>
          <t>V010</t>
        </is>
      </c>
      <c r="D61" s="24" t="n">
        <v>46287</v>
      </c>
      <c r="E61" s="12" t="n">
        <v>2606422</v>
      </c>
      <c r="F61" s="9" t="inlineStr">
        <is>
          <t>IDR</t>
        </is>
      </c>
      <c r="G61" s="9" t="inlineStr">
        <is>
          <t>received</t>
        </is>
      </c>
    </row>
    <row r="62">
      <c r="A62" s="9" t="inlineStr">
        <is>
          <t>P0061</t>
        </is>
      </c>
      <c r="B62" s="9" t="inlineStr">
        <is>
          <t>R0122</t>
        </is>
      </c>
      <c r="C62" s="9" t="inlineStr">
        <is>
          <t>V020</t>
        </is>
      </c>
      <c r="D62" s="24" t="n">
        <v>46317</v>
      </c>
      <c r="E62" s="12" t="n">
        <v>2609288</v>
      </c>
      <c r="F62" s="9" t="inlineStr">
        <is>
          <t>IDR</t>
        </is>
      </c>
      <c r="G62" s="9" t="inlineStr">
        <is>
          <t>received</t>
        </is>
      </c>
    </row>
    <row r="63">
      <c r="A63" s="9" t="inlineStr">
        <is>
          <t>P0062</t>
        </is>
      </c>
      <c r="B63" s="9" t="inlineStr">
        <is>
          <t>R0124</t>
        </is>
      </c>
      <c r="C63" s="9" t="inlineStr">
        <is>
          <t>V016</t>
        </is>
      </c>
      <c r="D63" s="24" t="n">
        <v>46275</v>
      </c>
      <c r="E63" s="12" t="n">
        <v>10661797</v>
      </c>
      <c r="F63" s="9" t="inlineStr">
        <is>
          <t>IDR</t>
        </is>
      </c>
      <c r="G63" s="9" t="inlineStr">
        <is>
          <t>received</t>
        </is>
      </c>
    </row>
    <row r="64">
      <c r="A64" s="9" t="inlineStr">
        <is>
          <t>P0063</t>
        </is>
      </c>
      <c r="B64" s="9" t="inlineStr">
        <is>
          <t>R0126</t>
        </is>
      </c>
      <c r="C64" s="9" t="inlineStr">
        <is>
          <t>V015</t>
        </is>
      </c>
      <c r="D64" s="24" t="n">
        <v>46274</v>
      </c>
      <c r="E64" s="12" t="n">
        <v>8565368</v>
      </c>
      <c r="F64" s="9" t="inlineStr">
        <is>
          <t>IDR</t>
        </is>
      </c>
      <c r="G64" s="9" t="inlineStr">
        <is>
          <t>received</t>
        </is>
      </c>
    </row>
    <row r="65">
      <c r="A65" s="9" t="inlineStr">
        <is>
          <t>P0064</t>
        </is>
      </c>
      <c r="B65" s="9" t="inlineStr">
        <is>
          <t>R0128</t>
        </is>
      </c>
      <c r="C65" s="9" t="inlineStr">
        <is>
          <t>V003</t>
        </is>
      </c>
      <c r="D65" s="24" t="n">
        <v>46289</v>
      </c>
      <c r="E65" s="12" t="n">
        <v>6745121</v>
      </c>
      <c r="F65" s="9" t="inlineStr">
        <is>
          <t>IDR</t>
        </is>
      </c>
      <c r="G65" s="9" t="inlineStr">
        <is>
          <t>received</t>
        </is>
      </c>
    </row>
    <row r="66">
      <c r="A66" s="9" t="inlineStr">
        <is>
          <t>P0065</t>
        </is>
      </c>
      <c r="B66" s="9" t="inlineStr">
        <is>
          <t>R0130</t>
        </is>
      </c>
      <c r="C66" s="9" t="inlineStr">
        <is>
          <t>V020</t>
        </is>
      </c>
      <c r="D66" s="24" t="n">
        <v>46310</v>
      </c>
      <c r="E66" s="12" t="n">
        <v>10593600</v>
      </c>
      <c r="F66" s="9" t="inlineStr">
        <is>
          <t>IDR</t>
        </is>
      </c>
      <c r="G66" s="9" t="inlineStr">
        <is>
          <t>received</t>
        </is>
      </c>
    </row>
    <row r="67">
      <c r="A67" s="9" t="inlineStr">
        <is>
          <t>P0066</t>
        </is>
      </c>
      <c r="B67" s="9" t="inlineStr">
        <is>
          <t>R0132</t>
        </is>
      </c>
      <c r="C67" s="9" t="inlineStr">
        <is>
          <t>V012</t>
        </is>
      </c>
      <c r="D67" s="24" t="n">
        <v>46320</v>
      </c>
      <c r="E67" s="12" t="n">
        <v>0</v>
      </c>
      <c r="F67" s="9" t="inlineStr">
        <is>
          <t>IDR</t>
        </is>
      </c>
      <c r="G67" s="9" t="inlineStr">
        <is>
          <t>received</t>
        </is>
      </c>
    </row>
    <row r="68">
      <c r="A68" s="9" t="inlineStr">
        <is>
          <t>P0067</t>
        </is>
      </c>
      <c r="B68" s="9" t="inlineStr">
        <is>
          <t>R0134</t>
        </is>
      </c>
      <c r="C68" s="9" t="inlineStr">
        <is>
          <t>V013</t>
        </is>
      </c>
      <c r="D68" s="24" t="n">
        <v>46273</v>
      </c>
      <c r="E68" s="12" t="n">
        <v>0</v>
      </c>
      <c r="F68" s="9" t="inlineStr">
        <is>
          <t>IDR</t>
        </is>
      </c>
      <c r="G68" s="9" t="inlineStr">
        <is>
          <t>received</t>
        </is>
      </c>
    </row>
    <row r="69">
      <c r="A69" s="9" t="inlineStr">
        <is>
          <t>P0068</t>
        </is>
      </c>
      <c r="B69" s="9" t="inlineStr">
        <is>
          <t>R0136</t>
        </is>
      </c>
      <c r="C69" s="9" t="inlineStr">
        <is>
          <t>V020</t>
        </is>
      </c>
      <c r="D69" s="24" t="n">
        <v>46317</v>
      </c>
      <c r="E69" s="12" t="n">
        <v>0</v>
      </c>
      <c r="F69" s="9" t="inlineStr">
        <is>
          <t>IDR</t>
        </is>
      </c>
      <c r="G69" s="9" t="inlineStr">
        <is>
          <t>received</t>
        </is>
      </c>
    </row>
    <row r="70">
      <c r="A70" s="9" t="inlineStr">
        <is>
          <t>P0069</t>
        </is>
      </c>
      <c r="B70" s="9" t="inlineStr">
        <is>
          <t>R0138</t>
        </is>
      </c>
      <c r="C70" s="9" t="inlineStr">
        <is>
          <t>V004</t>
        </is>
      </c>
      <c r="D70" s="24" t="n">
        <v>46276</v>
      </c>
      <c r="E70" s="12" t="n">
        <v>0</v>
      </c>
      <c r="F70" s="9" t="inlineStr">
        <is>
          <t>IDR</t>
        </is>
      </c>
      <c r="G70" s="9" t="inlineStr">
        <is>
          <t>received</t>
        </is>
      </c>
    </row>
    <row r="71">
      <c r="A71" s="9" t="inlineStr">
        <is>
          <t>P0070</t>
        </is>
      </c>
      <c r="B71" s="9" t="inlineStr">
        <is>
          <t>R0140</t>
        </is>
      </c>
      <c r="C71" s="9" t="inlineStr">
        <is>
          <t>V004</t>
        </is>
      </c>
      <c r="D71" s="24" t="n">
        <v>46322</v>
      </c>
      <c r="E71" s="12" t="n">
        <v>0</v>
      </c>
      <c r="F71" s="9" t="inlineStr">
        <is>
          <t>IDR</t>
        </is>
      </c>
      <c r="G71" s="9" t="inlineStr">
        <is>
          <t>received</t>
        </is>
      </c>
    </row>
    <row r="72">
      <c r="A72" s="9" t="inlineStr">
        <is>
          <t>P0071</t>
        </is>
      </c>
      <c r="B72" s="9" t="inlineStr">
        <is>
          <t>R0142</t>
        </is>
      </c>
      <c r="C72" s="9" t="inlineStr">
        <is>
          <t>V002</t>
        </is>
      </c>
      <c r="D72" s="24" t="n">
        <v>46305</v>
      </c>
      <c r="E72" s="12" t="n">
        <v>0</v>
      </c>
      <c r="F72" s="9" t="inlineStr">
        <is>
          <t>IDR</t>
        </is>
      </c>
      <c r="G72" s="9" t="inlineStr">
        <is>
          <t>received</t>
        </is>
      </c>
    </row>
    <row r="73">
      <c r="A73" s="9" t="inlineStr">
        <is>
          <t>P0072</t>
        </is>
      </c>
      <c r="B73" s="9" t="inlineStr">
        <is>
          <t>R0144</t>
        </is>
      </c>
      <c r="C73" s="9" t="inlineStr">
        <is>
          <t>V002</t>
        </is>
      </c>
      <c r="D73" s="24" t="n">
        <v>46330</v>
      </c>
      <c r="E73" s="12" t="n">
        <v>7115398</v>
      </c>
      <c r="F73" s="9" t="inlineStr">
        <is>
          <t>IDR</t>
        </is>
      </c>
      <c r="G73" s="9" t="inlineStr">
        <is>
          <t>received</t>
        </is>
      </c>
    </row>
    <row r="74">
      <c r="A74" s="9" t="inlineStr">
        <is>
          <t>P0073</t>
        </is>
      </c>
      <c r="B74" s="9" t="inlineStr">
        <is>
          <t>R0146</t>
        </is>
      </c>
      <c r="C74" s="9" t="inlineStr">
        <is>
          <t>V008</t>
        </is>
      </c>
      <c r="D74" s="24" t="n">
        <v>46285</v>
      </c>
      <c r="E74" s="12" t="n">
        <v>2218910</v>
      </c>
      <c r="F74" s="9" t="inlineStr">
        <is>
          <t>IDR</t>
        </is>
      </c>
      <c r="G74" s="9" t="inlineStr">
        <is>
          <t>received</t>
        </is>
      </c>
    </row>
    <row r="75">
      <c r="A75" s="9" t="inlineStr">
        <is>
          <t>P0074</t>
        </is>
      </c>
      <c r="B75" s="9" t="inlineStr">
        <is>
          <t>R0148</t>
        </is>
      </c>
      <c r="C75" s="9" t="inlineStr">
        <is>
          <t>V017</t>
        </is>
      </c>
      <c r="D75" s="24" t="n">
        <v>46300</v>
      </c>
      <c r="E75" s="12" t="n">
        <v>7160415</v>
      </c>
      <c r="F75" s="9" t="inlineStr">
        <is>
          <t>IDR</t>
        </is>
      </c>
      <c r="G75" s="9" t="inlineStr">
        <is>
          <t>received</t>
        </is>
      </c>
    </row>
    <row r="76">
      <c r="A76" s="9" t="inlineStr">
        <is>
          <t>P0075</t>
        </is>
      </c>
      <c r="B76" s="9" t="inlineStr">
        <is>
          <t>R0150</t>
        </is>
      </c>
      <c r="C76" s="9" t="inlineStr">
        <is>
          <t>V009</t>
        </is>
      </c>
      <c r="D76" s="24" t="n">
        <v>46272</v>
      </c>
      <c r="E76" s="12" t="n">
        <v>12211055</v>
      </c>
      <c r="F76" s="9" t="inlineStr">
        <is>
          <t>IDR</t>
        </is>
      </c>
      <c r="G76" s="9" t="inlineStr">
        <is>
          <t>received</t>
        </is>
      </c>
    </row>
    <row r="77">
      <c r="A77" s="9" t="inlineStr">
        <is>
          <t>P0075</t>
        </is>
      </c>
      <c r="B77" s="9" t="inlineStr">
        <is>
          <t>R0150</t>
        </is>
      </c>
      <c r="C77" s="9" t="inlineStr">
        <is>
          <t>V009</t>
        </is>
      </c>
      <c r="D77" s="24" t="n">
        <v>46272</v>
      </c>
      <c r="E77" s="12" t="n">
        <v>12211055</v>
      </c>
      <c r="F77" s="9" t="inlineStr">
        <is>
          <t>IDR</t>
        </is>
      </c>
      <c r="G77" s="9" t="inlineStr">
        <is>
          <t>received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9AA5B1"/>
    <outlinePr summaryBelow="1" summaryRight="1"/>
    <pageSetUpPr/>
  </sheetPr>
  <dimension ref="A1:G9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13" t="inlineStr">
        <is>
          <t>expense_id</t>
        </is>
      </c>
      <c r="B1" s="13" t="inlineStr">
        <is>
          <t>property_id</t>
        </is>
      </c>
      <c r="C1" s="13" t="inlineStr">
        <is>
          <t>expense_date</t>
        </is>
      </c>
      <c r="D1" s="13" t="inlineStr">
        <is>
          <t>category</t>
        </is>
      </c>
      <c r="E1" s="13" t="inlineStr">
        <is>
          <t>amount</t>
        </is>
      </c>
      <c r="F1" s="13" t="inlineStr">
        <is>
          <t>currency</t>
        </is>
      </c>
      <c r="G1" s="13" t="inlineStr">
        <is>
          <t>payment_status</t>
        </is>
      </c>
    </row>
    <row r="2">
      <c r="A2" s="9" t="inlineStr">
        <is>
          <t>E0001</t>
        </is>
      </c>
      <c r="B2" s="9" t="inlineStr">
        <is>
          <t>V019</t>
        </is>
      </c>
      <c r="C2" s="24" t="n">
        <v>46306</v>
      </c>
      <c r="D2" s="9" t="inlineStr">
        <is>
          <t>Supplies</t>
        </is>
      </c>
      <c r="E2" s="12" t="n">
        <v>728127</v>
      </c>
      <c r="F2" s="9" t="inlineStr">
        <is>
          <t>IDR</t>
        </is>
      </c>
      <c r="G2" s="9" t="inlineStr">
        <is>
          <t>paid</t>
        </is>
      </c>
    </row>
    <row r="3">
      <c r="A3" s="9" t="inlineStr">
        <is>
          <t>E0002</t>
        </is>
      </c>
      <c r="B3" s="9" t="inlineStr">
        <is>
          <t>V005</t>
        </is>
      </c>
      <c r="C3" s="24" t="n">
        <v>46325</v>
      </c>
      <c r="D3" s="9" t="inlineStr">
        <is>
          <t>Electricity</t>
        </is>
      </c>
      <c r="E3" s="12" t="n">
        <v>870049</v>
      </c>
      <c r="F3" s="9" t="inlineStr">
        <is>
          <t>IDR</t>
        </is>
      </c>
      <c r="G3" s="9" t="inlineStr">
        <is>
          <t>paid</t>
        </is>
      </c>
    </row>
    <row r="4">
      <c r="A4" s="9" t="inlineStr">
        <is>
          <t>E0003</t>
        </is>
      </c>
      <c r="B4" s="9" t="inlineStr">
        <is>
          <t>V020</t>
        </is>
      </c>
      <c r="C4" s="24" t="n">
        <v>46277</v>
      </c>
      <c r="D4" s="9" t="inlineStr">
        <is>
          <t>Maintenance</t>
        </is>
      </c>
      <c r="E4" s="12" t="n">
        <v>544001</v>
      </c>
      <c r="F4" s="9" t="inlineStr">
        <is>
          <t>IDR</t>
        </is>
      </c>
      <c r="G4" s="9" t="inlineStr">
        <is>
          <t>paid</t>
        </is>
      </c>
    </row>
    <row r="5">
      <c r="A5" s="9" t="inlineStr">
        <is>
          <t>E0004</t>
        </is>
      </c>
      <c r="B5" s="9" t="inlineStr">
        <is>
          <t>V006</t>
        </is>
      </c>
      <c r="C5" s="24" t="n">
        <v>46298</v>
      </c>
      <c r="D5" s="9" t="inlineStr">
        <is>
          <t>Maintenance</t>
        </is>
      </c>
      <c r="E5" s="12" t="n">
        <v>580499</v>
      </c>
      <c r="F5" s="9" t="inlineStr">
        <is>
          <t>IDR</t>
        </is>
      </c>
      <c r="G5" s="9" t="inlineStr">
        <is>
          <t>paid</t>
        </is>
      </c>
    </row>
    <row r="6">
      <c r="A6" s="9" t="inlineStr">
        <is>
          <t>E0005</t>
        </is>
      </c>
      <c r="B6" s="9" t="inlineStr">
        <is>
          <t>V007</t>
        </is>
      </c>
      <c r="C6" s="24" t="n">
        <v>46270</v>
      </c>
      <c r="D6" s="9" t="inlineStr">
        <is>
          <t>Cleaning</t>
        </is>
      </c>
      <c r="E6" s="12" t="n">
        <v>231018</v>
      </c>
      <c r="F6" s="9" t="inlineStr">
        <is>
          <t>IDR</t>
        </is>
      </c>
      <c r="G6" s="9" t="inlineStr">
        <is>
          <t>paid</t>
        </is>
      </c>
    </row>
    <row r="7">
      <c r="A7" s="9" t="inlineStr">
        <is>
          <t>E0006</t>
        </is>
      </c>
      <c r="B7" s="9" t="inlineStr">
        <is>
          <t>V009</t>
        </is>
      </c>
      <c r="C7" s="24" t="n">
        <v>46275</v>
      </c>
      <c r="D7" s="9" t="inlineStr">
        <is>
          <t>Maintenance</t>
        </is>
      </c>
      <c r="E7" s="12" t="n">
        <v>545475</v>
      </c>
      <c r="F7" s="9" t="inlineStr">
        <is>
          <t>IDR</t>
        </is>
      </c>
      <c r="G7" s="9" t="inlineStr">
        <is>
          <t>pending</t>
        </is>
      </c>
    </row>
    <row r="8">
      <c r="A8" s="9" t="inlineStr">
        <is>
          <t>E0007</t>
        </is>
      </c>
      <c r="B8" s="9" t="inlineStr">
        <is>
          <t>V004</t>
        </is>
      </c>
      <c r="C8" s="24" t="n">
        <v>46307</v>
      </c>
      <c r="D8" s="9" t="inlineStr">
        <is>
          <t>Electricity</t>
        </is>
      </c>
      <c r="E8" s="12" t="n">
        <v>375795</v>
      </c>
      <c r="F8" s="9" t="inlineStr">
        <is>
          <t>IDR</t>
        </is>
      </c>
      <c r="G8" s="9" t="inlineStr">
        <is>
          <t>paid</t>
        </is>
      </c>
    </row>
    <row r="9">
      <c r="A9" s="9" t="inlineStr">
        <is>
          <t>E0008</t>
        </is>
      </c>
      <c r="B9" s="9" t="inlineStr">
        <is>
          <t>V017</t>
        </is>
      </c>
      <c r="C9" s="24" t="n">
        <v>46280</v>
      </c>
      <c r="D9" s="9" t="inlineStr">
        <is>
          <t>Cleaning</t>
        </is>
      </c>
      <c r="E9" s="12" t="n">
        <v>562073</v>
      </c>
      <c r="F9" s="9" t="inlineStr">
        <is>
          <t>IDR</t>
        </is>
      </c>
      <c r="G9" s="9" t="inlineStr">
        <is>
          <t>paid</t>
        </is>
      </c>
    </row>
    <row r="10">
      <c r="A10" s="9" t="inlineStr">
        <is>
          <t>E0009</t>
        </is>
      </c>
      <c r="B10" s="9" t="inlineStr">
        <is>
          <t>V006</t>
        </is>
      </c>
      <c r="C10" s="24" t="n">
        <v>46314</v>
      </c>
      <c r="D10" s="9" t="inlineStr">
        <is>
          <t>Electricity</t>
        </is>
      </c>
      <c r="E10" s="12" t="n">
        <v>707969</v>
      </c>
      <c r="F10" s="9" t="inlineStr">
        <is>
          <t>IDR</t>
        </is>
      </c>
      <c r="G10" s="9" t="inlineStr">
        <is>
          <t>paid</t>
        </is>
      </c>
    </row>
    <row r="11">
      <c r="A11" s="9" t="inlineStr">
        <is>
          <t>E0010</t>
        </is>
      </c>
      <c r="B11" s="9" t="inlineStr">
        <is>
          <t>V015</t>
        </is>
      </c>
      <c r="C11" s="24" t="n">
        <v>46317</v>
      </c>
      <c r="D11" s="9" t="inlineStr">
        <is>
          <t>Electricity</t>
        </is>
      </c>
      <c r="E11" s="12" t="n">
        <v>887896</v>
      </c>
      <c r="F11" s="9" t="inlineStr">
        <is>
          <t>IDR</t>
        </is>
      </c>
      <c r="G11" s="9" t="inlineStr">
        <is>
          <t>paid</t>
        </is>
      </c>
    </row>
    <row r="12">
      <c r="A12" s="9" t="inlineStr">
        <is>
          <t>E0011</t>
        </is>
      </c>
      <c r="B12" s="9" t="inlineStr">
        <is>
          <t>V020</t>
        </is>
      </c>
      <c r="C12" s="24" t="n">
        <v>46326</v>
      </c>
      <c r="D12" s="9" t="inlineStr">
        <is>
          <t>Supplies</t>
        </is>
      </c>
      <c r="E12" s="12" t="n">
        <v>128279</v>
      </c>
      <c r="F12" s="9" t="inlineStr">
        <is>
          <t>IDR</t>
        </is>
      </c>
      <c r="G12" s="9" t="inlineStr">
        <is>
          <t>paid</t>
        </is>
      </c>
    </row>
    <row r="13">
      <c r="A13" s="9" t="inlineStr">
        <is>
          <t>E0012</t>
        </is>
      </c>
      <c r="B13" s="9" t="inlineStr">
        <is>
          <t>V004</t>
        </is>
      </c>
      <c r="C13" s="24" t="n">
        <v>46293</v>
      </c>
      <c r="D13" s="9" t="inlineStr">
        <is>
          <t>Maintenance</t>
        </is>
      </c>
      <c r="E13" s="12" t="n">
        <v>785856</v>
      </c>
      <c r="F13" s="9" t="inlineStr">
        <is>
          <t>IDR</t>
        </is>
      </c>
      <c r="G13" s="9" t="inlineStr">
        <is>
          <t>pending</t>
        </is>
      </c>
    </row>
    <row r="14">
      <c r="A14" s="9" t="inlineStr">
        <is>
          <t>E0013</t>
        </is>
      </c>
      <c r="B14" s="9" t="inlineStr">
        <is>
          <t>V018</t>
        </is>
      </c>
      <c r="C14" s="24" t="n">
        <v>46312</v>
      </c>
      <c r="D14" s="9" t="inlineStr">
        <is>
          <t>Electricity</t>
        </is>
      </c>
      <c r="E14" s="12" t="n">
        <v>889733</v>
      </c>
      <c r="F14" s="9" t="inlineStr">
        <is>
          <t>IDR</t>
        </is>
      </c>
      <c r="G14" s="9" t="inlineStr">
        <is>
          <t>paid</t>
        </is>
      </c>
    </row>
    <row r="15">
      <c r="A15" s="9" t="inlineStr">
        <is>
          <t>E0014</t>
        </is>
      </c>
      <c r="B15" s="9" t="inlineStr">
        <is>
          <t>V001</t>
        </is>
      </c>
      <c r="C15" s="24" t="n">
        <v>46323</v>
      </c>
      <c r="D15" s="9" t="inlineStr">
        <is>
          <t>Cleaning</t>
        </is>
      </c>
      <c r="E15" s="12" t="n">
        <v>641962</v>
      </c>
      <c r="F15" s="9" t="inlineStr">
        <is>
          <t>IDR</t>
        </is>
      </c>
      <c r="G15" s="9" t="inlineStr">
        <is>
          <t>paid</t>
        </is>
      </c>
    </row>
    <row r="16">
      <c r="A16" s="9" t="inlineStr">
        <is>
          <t>E0015</t>
        </is>
      </c>
      <c r="B16" s="9" t="inlineStr">
        <is>
          <t>V012</t>
        </is>
      </c>
      <c r="C16" s="24" t="n">
        <v>46267</v>
      </c>
      <c r="D16" s="9" t="inlineStr">
        <is>
          <t>Electricity</t>
        </is>
      </c>
      <c r="E16" s="12" t="n">
        <v>561600</v>
      </c>
      <c r="F16" s="9" t="inlineStr">
        <is>
          <t>IDR</t>
        </is>
      </c>
      <c r="G16" s="9" t="inlineStr">
        <is>
          <t>paid</t>
        </is>
      </c>
    </row>
    <row r="17">
      <c r="A17" s="9" t="inlineStr">
        <is>
          <t>E0016</t>
        </is>
      </c>
      <c r="B17" s="9" t="inlineStr">
        <is>
          <t>V011</t>
        </is>
      </c>
      <c r="C17" s="24" t="n">
        <v>46313</v>
      </c>
      <c r="D17" s="9" t="inlineStr">
        <is>
          <t>Electricity</t>
        </is>
      </c>
      <c r="E17" s="12" t="n">
        <v>274425</v>
      </c>
      <c r="F17" s="9" t="inlineStr">
        <is>
          <t>IDR</t>
        </is>
      </c>
      <c r="G17" s="9" t="inlineStr">
        <is>
          <t>paid</t>
        </is>
      </c>
    </row>
    <row r="18">
      <c r="A18" s="9" t="inlineStr">
        <is>
          <t>E0017</t>
        </is>
      </c>
      <c r="B18" s="9" t="inlineStr">
        <is>
          <t>V777</t>
        </is>
      </c>
      <c r="C18" s="24" t="n">
        <v>46316</v>
      </c>
      <c r="D18" s="9" t="inlineStr">
        <is>
          <t>Maintenance</t>
        </is>
      </c>
      <c r="E18" s="12" t="n">
        <v>834779</v>
      </c>
      <c r="F18" s="9" t="inlineStr">
        <is>
          <t>IDR</t>
        </is>
      </c>
      <c r="G18" s="9" t="inlineStr">
        <is>
          <t>paid</t>
        </is>
      </c>
    </row>
    <row r="19">
      <c r="A19" s="9" t="inlineStr">
        <is>
          <t>E0018</t>
        </is>
      </c>
      <c r="B19" s="9" t="inlineStr">
        <is>
          <t>V011</t>
        </is>
      </c>
      <c r="C19" s="24" t="n">
        <v>46271</v>
      </c>
      <c r="D19" s="9" t="inlineStr">
        <is>
          <t>Electricity</t>
        </is>
      </c>
      <c r="E19" s="12" t="n">
        <v>778388</v>
      </c>
      <c r="F19" s="9" t="inlineStr">
        <is>
          <t>IDR</t>
        </is>
      </c>
      <c r="G19" s="9" t="inlineStr">
        <is>
          <t>pending</t>
        </is>
      </c>
    </row>
    <row r="20">
      <c r="A20" s="9" t="inlineStr">
        <is>
          <t>E0019</t>
        </is>
      </c>
      <c r="B20" s="9" t="inlineStr">
        <is>
          <t>V008</t>
        </is>
      </c>
      <c r="C20" s="24" t="n">
        <v>46278</v>
      </c>
      <c r="D20" s="9" t="inlineStr">
        <is>
          <t>Cleaning</t>
        </is>
      </c>
      <c r="E20" s="12" t="n">
        <v>896795</v>
      </c>
      <c r="F20" s="9" t="inlineStr">
        <is>
          <t>IDR</t>
        </is>
      </c>
      <c r="G20" s="9" t="inlineStr">
        <is>
          <t>paid</t>
        </is>
      </c>
    </row>
    <row r="21">
      <c r="A21" s="9" t="inlineStr">
        <is>
          <t>E0020</t>
        </is>
      </c>
      <c r="B21" s="9" t="inlineStr">
        <is>
          <t>V005</t>
        </is>
      </c>
      <c r="C21" s="24" t="n">
        <v>46319</v>
      </c>
      <c r="D21" s="9" t="inlineStr">
        <is>
          <t>Maintenance</t>
        </is>
      </c>
      <c r="E21" s="12" t="n">
        <v>484966</v>
      </c>
      <c r="F21" s="9" t="inlineStr">
        <is>
          <t>IDR</t>
        </is>
      </c>
      <c r="G21" s="9" t="inlineStr">
        <is>
          <t>paid</t>
        </is>
      </c>
    </row>
    <row r="22">
      <c r="A22" s="9" t="inlineStr">
        <is>
          <t>E0021</t>
        </is>
      </c>
      <c r="B22" s="9" t="inlineStr">
        <is>
          <t>V009</t>
        </is>
      </c>
      <c r="C22" s="24" t="n">
        <v>46318</v>
      </c>
      <c r="D22" s="9" t="inlineStr">
        <is>
          <t>Electricity</t>
        </is>
      </c>
      <c r="E22" s="12" t="n">
        <v>300567</v>
      </c>
      <c r="F22" s="9" t="inlineStr">
        <is>
          <t>IDR</t>
        </is>
      </c>
      <c r="G22" s="9" t="inlineStr">
        <is>
          <t>paid</t>
        </is>
      </c>
    </row>
    <row r="23">
      <c r="A23" s="9" t="inlineStr">
        <is>
          <t>E0022</t>
        </is>
      </c>
      <c r="B23" s="9" t="inlineStr">
        <is>
          <t>V012</t>
        </is>
      </c>
      <c r="C23" s="24" t="n">
        <v>46302</v>
      </c>
      <c r="D23" s="9" t="inlineStr">
        <is>
          <t>Maintenance</t>
        </is>
      </c>
      <c r="E23" s="12" t="n">
        <v>491719</v>
      </c>
      <c r="F23" s="9" t="inlineStr">
        <is>
          <t>IDR</t>
        </is>
      </c>
      <c r="G23" s="9" t="inlineStr">
        <is>
          <t>paid</t>
        </is>
      </c>
    </row>
    <row r="24">
      <c r="A24" s="9" t="inlineStr">
        <is>
          <t>E0023</t>
        </is>
      </c>
      <c r="B24" s="9" t="inlineStr">
        <is>
          <t>V017</t>
        </is>
      </c>
      <c r="C24" s="24" t="n">
        <v>46320</v>
      </c>
      <c r="D24" s="9" t="inlineStr">
        <is>
          <t>Cleaning</t>
        </is>
      </c>
      <c r="E24" s="12" t="n">
        <v>380091</v>
      </c>
      <c r="F24" s="9" t="inlineStr">
        <is>
          <t>IDR</t>
        </is>
      </c>
      <c r="G24" s="9" t="inlineStr">
        <is>
          <t>paid</t>
        </is>
      </c>
    </row>
    <row r="25">
      <c r="A25" s="9" t="inlineStr">
        <is>
          <t>E0024</t>
        </is>
      </c>
      <c r="B25" s="9" t="inlineStr">
        <is>
          <t>V015</t>
        </is>
      </c>
      <c r="C25" s="24" t="n">
        <v>46297</v>
      </c>
      <c r="D25" s="9" t="inlineStr">
        <is>
          <t>Electricity</t>
        </is>
      </c>
      <c r="E25" s="12" t="n">
        <v>93518</v>
      </c>
      <c r="F25" s="9" t="inlineStr">
        <is>
          <t>IDR</t>
        </is>
      </c>
      <c r="G25" s="9" t="inlineStr">
        <is>
          <t>pending</t>
        </is>
      </c>
    </row>
    <row r="26">
      <c r="A26" s="9" t="inlineStr">
        <is>
          <t>E0025</t>
        </is>
      </c>
      <c r="B26" s="9" t="inlineStr">
        <is>
          <t>V013</t>
        </is>
      </c>
      <c r="C26" s="24" t="n">
        <v>46312</v>
      </c>
      <c r="D26" s="9" t="inlineStr">
        <is>
          <t>Cleaning</t>
        </is>
      </c>
      <c r="E26" s="12" t="n">
        <v>901281</v>
      </c>
      <c r="F26" s="9" t="inlineStr">
        <is>
          <t>IDR</t>
        </is>
      </c>
      <c r="G26" s="9" t="inlineStr">
        <is>
          <t>paid</t>
        </is>
      </c>
    </row>
    <row r="27">
      <c r="A27" s="9" t="inlineStr">
        <is>
          <t>E0026</t>
        </is>
      </c>
      <c r="B27" s="9" t="inlineStr">
        <is>
          <t>V012</t>
        </is>
      </c>
      <c r="C27" s="24" t="n">
        <v>46299</v>
      </c>
      <c r="D27" s="9" t="inlineStr">
        <is>
          <t>Cleaning</t>
        </is>
      </c>
      <c r="E27" s="12" t="n">
        <v>817967</v>
      </c>
      <c r="F27" s="9" t="inlineStr">
        <is>
          <t>IDR</t>
        </is>
      </c>
      <c r="G27" s="9" t="inlineStr">
        <is>
          <t>paid</t>
        </is>
      </c>
    </row>
    <row r="28">
      <c r="A28" s="9" t="inlineStr">
        <is>
          <t>E0027</t>
        </is>
      </c>
      <c r="B28" s="9" t="inlineStr">
        <is>
          <t>V015</t>
        </is>
      </c>
      <c r="C28" s="24" t="n">
        <v>46306</v>
      </c>
      <c r="D28" s="9" t="inlineStr">
        <is>
          <t>Supplies</t>
        </is>
      </c>
      <c r="E28" s="12" t="n">
        <v>631088</v>
      </c>
      <c r="F28" s="9" t="inlineStr">
        <is>
          <t>IDR</t>
        </is>
      </c>
      <c r="G28" s="9" t="inlineStr">
        <is>
          <t>paid</t>
        </is>
      </c>
    </row>
    <row r="29">
      <c r="A29" s="9" t="inlineStr">
        <is>
          <t>E0028</t>
        </is>
      </c>
      <c r="B29" s="9" t="inlineStr">
        <is>
          <t>V001</t>
        </is>
      </c>
      <c r="C29" s="24" t="n">
        <v>46304</v>
      </c>
      <c r="D29" s="9" t="inlineStr">
        <is>
          <t>Cleaning</t>
        </is>
      </c>
      <c r="E29" s="12" t="n">
        <v>656683</v>
      </c>
      <c r="F29" s="9" t="inlineStr">
        <is>
          <t>IDR</t>
        </is>
      </c>
      <c r="G29" s="9" t="inlineStr">
        <is>
          <t>paid</t>
        </is>
      </c>
    </row>
    <row r="30">
      <c r="A30" s="9" t="inlineStr">
        <is>
          <t>E0029</t>
        </is>
      </c>
      <c r="B30" s="9" t="inlineStr">
        <is>
          <t>V013</t>
        </is>
      </c>
      <c r="C30" s="24" t="n">
        <v>46301</v>
      </c>
      <c r="D30" s="9" t="inlineStr">
        <is>
          <t>Cleaning</t>
        </is>
      </c>
      <c r="E30" s="12" t="n">
        <v>184778</v>
      </c>
      <c r="F30" s="9" t="inlineStr">
        <is>
          <t>IDR</t>
        </is>
      </c>
      <c r="G30" s="9" t="inlineStr">
        <is>
          <t>paid</t>
        </is>
      </c>
    </row>
    <row r="31">
      <c r="A31" s="9" t="inlineStr">
        <is>
          <t>E0030</t>
        </is>
      </c>
      <c r="B31" s="9" t="inlineStr">
        <is>
          <t>V010</t>
        </is>
      </c>
      <c r="C31" s="24" t="n">
        <v>46270</v>
      </c>
      <c r="D31" s="9" t="inlineStr">
        <is>
          <t>Maintenance</t>
        </is>
      </c>
      <c r="E31" s="12" t="n">
        <v>158367</v>
      </c>
      <c r="F31" s="9" t="inlineStr">
        <is>
          <t>IDR</t>
        </is>
      </c>
      <c r="G31" s="9" t="inlineStr">
        <is>
          <t>pending</t>
        </is>
      </c>
    </row>
    <row r="32">
      <c r="A32" s="9" t="inlineStr">
        <is>
          <t>E0031</t>
        </is>
      </c>
      <c r="B32" s="9" t="inlineStr">
        <is>
          <t>V009</t>
        </is>
      </c>
      <c r="C32" s="24" t="n">
        <v>46326</v>
      </c>
      <c r="D32" s="9" t="inlineStr">
        <is>
          <t>Maintenance</t>
        </is>
      </c>
      <c r="E32" s="12" t="n">
        <v>745206</v>
      </c>
      <c r="F32" s="9" t="inlineStr">
        <is>
          <t>IDR</t>
        </is>
      </c>
      <c r="G32" s="9" t="inlineStr">
        <is>
          <t>paid</t>
        </is>
      </c>
    </row>
    <row r="33">
      <c r="A33" s="9" t="inlineStr">
        <is>
          <t>E0032</t>
        </is>
      </c>
      <c r="B33" s="9" t="inlineStr">
        <is>
          <t>V007</t>
        </is>
      </c>
      <c r="C33" s="24" t="n">
        <v>46326</v>
      </c>
      <c r="D33" s="9" t="inlineStr">
        <is>
          <t>Maintenance</t>
        </is>
      </c>
      <c r="E33" s="12" t="n">
        <v>527533</v>
      </c>
      <c r="F33" s="9" t="inlineStr">
        <is>
          <t>IDR</t>
        </is>
      </c>
      <c r="G33" s="9" t="inlineStr">
        <is>
          <t>paid</t>
        </is>
      </c>
    </row>
    <row r="34">
      <c r="A34" s="9" t="inlineStr">
        <is>
          <t>E0033</t>
        </is>
      </c>
      <c r="B34" s="9" t="inlineStr">
        <is>
          <t>V016</t>
        </is>
      </c>
      <c r="C34" s="24" t="n">
        <v>46294</v>
      </c>
      <c r="D34" s="9" t="inlineStr">
        <is>
          <t>Cleaning</t>
        </is>
      </c>
      <c r="E34" s="12" t="n">
        <v>350670</v>
      </c>
      <c r="F34" s="9" t="inlineStr">
        <is>
          <t>IDR</t>
        </is>
      </c>
      <c r="G34" s="9" t="inlineStr">
        <is>
          <t>paid</t>
        </is>
      </c>
    </row>
    <row r="35">
      <c r="A35" s="9" t="inlineStr">
        <is>
          <t>E0034</t>
        </is>
      </c>
      <c r="B35" s="9" t="inlineStr">
        <is>
          <t>V019</t>
        </is>
      </c>
      <c r="C35" s="24" t="n">
        <v>46323</v>
      </c>
      <c r="D35" s="9" t="inlineStr">
        <is>
          <t>Cleaning</t>
        </is>
      </c>
      <c r="E35" s="12" t="n">
        <v>369039</v>
      </c>
      <c r="F35" s="9" t="inlineStr">
        <is>
          <t>IDR</t>
        </is>
      </c>
      <c r="G35" s="9" t="inlineStr">
        <is>
          <t>paid</t>
        </is>
      </c>
    </row>
    <row r="36">
      <c r="A36" s="9" t="inlineStr">
        <is>
          <t>E0035</t>
        </is>
      </c>
      <c r="B36" s="9" t="inlineStr">
        <is>
          <t>V008</t>
        </is>
      </c>
      <c r="C36" s="24" t="n">
        <v>46275</v>
      </c>
      <c r="D36" s="9" t="inlineStr">
        <is>
          <t>Maintenance</t>
        </is>
      </c>
      <c r="E36" s="12" t="n">
        <v>514004</v>
      </c>
      <c r="F36" s="9" t="inlineStr">
        <is>
          <t>IDR</t>
        </is>
      </c>
      <c r="G36" s="9" t="inlineStr">
        <is>
          <t>paid</t>
        </is>
      </c>
    </row>
    <row r="37">
      <c r="A37" s="9" t="inlineStr">
        <is>
          <t>E0036</t>
        </is>
      </c>
      <c r="B37" s="9" t="inlineStr">
        <is>
          <t>V012</t>
        </is>
      </c>
      <c r="C37" s="24" t="n">
        <v>46297</v>
      </c>
      <c r="D37" s="9" t="inlineStr">
        <is>
          <t>Maintenance</t>
        </is>
      </c>
      <c r="E37" s="12" t="n">
        <v>651176</v>
      </c>
      <c r="F37" s="9" t="inlineStr">
        <is>
          <t>IDR</t>
        </is>
      </c>
      <c r="G37" s="9" t="inlineStr">
        <is>
          <t>pending</t>
        </is>
      </c>
    </row>
    <row r="38">
      <c r="A38" s="9" t="inlineStr">
        <is>
          <t>E0037</t>
        </is>
      </c>
      <c r="B38" s="9" t="inlineStr">
        <is>
          <t>V013</t>
        </is>
      </c>
      <c r="C38" s="24" t="n">
        <v>46275</v>
      </c>
      <c r="D38" s="9" t="inlineStr">
        <is>
          <t>Maintenance</t>
        </is>
      </c>
      <c r="E38" s="12" t="n">
        <v>812609</v>
      </c>
      <c r="F38" s="9" t="inlineStr">
        <is>
          <t>IDR</t>
        </is>
      </c>
      <c r="G38" s="9" t="inlineStr">
        <is>
          <t>paid</t>
        </is>
      </c>
    </row>
    <row r="39">
      <c r="A39" s="9" t="inlineStr">
        <is>
          <t>E0038</t>
        </is>
      </c>
      <c r="B39" s="9" t="inlineStr">
        <is>
          <t>V004</t>
        </is>
      </c>
      <c r="C39" s="24" t="n">
        <v>46320</v>
      </c>
      <c r="D39" s="9" t="inlineStr">
        <is>
          <t>Maintenance</t>
        </is>
      </c>
      <c r="E39" s="12" t="n">
        <v>689706</v>
      </c>
      <c r="F39" s="9" t="inlineStr">
        <is>
          <t>IDR</t>
        </is>
      </c>
      <c r="G39" s="9" t="inlineStr">
        <is>
          <t>paid</t>
        </is>
      </c>
    </row>
    <row r="40">
      <c r="A40" s="9" t="inlineStr">
        <is>
          <t>E0039</t>
        </is>
      </c>
      <c r="B40" s="9" t="inlineStr">
        <is>
          <t>V009</t>
        </is>
      </c>
      <c r="C40" s="24" t="n">
        <v>46270</v>
      </c>
      <c r="D40" s="9" t="inlineStr">
        <is>
          <t>Supplies</t>
        </is>
      </c>
      <c r="E40" s="12" t="n">
        <v>459629</v>
      </c>
      <c r="F40" s="9" t="inlineStr">
        <is>
          <t>IDR</t>
        </is>
      </c>
      <c r="G40" s="9" t="inlineStr">
        <is>
          <t>paid</t>
        </is>
      </c>
    </row>
    <row r="41">
      <c r="A41" s="9" t="inlineStr">
        <is>
          <t>E0040</t>
        </is>
      </c>
      <c r="B41" s="9" t="inlineStr">
        <is>
          <t>V001</t>
        </is>
      </c>
      <c r="C41" s="24" t="n">
        <v>46310</v>
      </c>
      <c r="D41" s="9" t="inlineStr">
        <is>
          <t>Supplies</t>
        </is>
      </c>
      <c r="E41" s="12" t="n">
        <v>947877</v>
      </c>
      <c r="F41" s="9" t="inlineStr">
        <is>
          <t>IDR</t>
        </is>
      </c>
      <c r="G41" s="9" t="inlineStr">
        <is>
          <t>paid</t>
        </is>
      </c>
    </row>
    <row r="42">
      <c r="A42" s="9" t="inlineStr">
        <is>
          <t>E0041</t>
        </is>
      </c>
      <c r="B42" s="9" t="inlineStr">
        <is>
          <t>V007</t>
        </is>
      </c>
      <c r="C42" s="24" t="n">
        <v>46308</v>
      </c>
      <c r="D42" s="9" t="inlineStr">
        <is>
          <t>Electricity</t>
        </is>
      </c>
      <c r="E42" s="12" t="n">
        <v>876730</v>
      </c>
      <c r="F42" s="9" t="inlineStr">
        <is>
          <t>IDR</t>
        </is>
      </c>
      <c r="G42" s="9" t="inlineStr">
        <is>
          <t>paid</t>
        </is>
      </c>
    </row>
    <row r="43">
      <c r="A43" s="9" t="inlineStr">
        <is>
          <t>E0042</t>
        </is>
      </c>
      <c r="B43" s="9" t="inlineStr">
        <is>
          <t>V003</t>
        </is>
      </c>
      <c r="C43" s="24" t="n">
        <v>46266</v>
      </c>
      <c r="D43" s="9" t="inlineStr">
        <is>
          <t>Cleaning</t>
        </is>
      </c>
      <c r="E43" s="12" t="n">
        <v>751988</v>
      </c>
      <c r="F43" s="9" t="inlineStr">
        <is>
          <t>IDR</t>
        </is>
      </c>
      <c r="G43" s="9" t="inlineStr">
        <is>
          <t>pending</t>
        </is>
      </c>
    </row>
    <row r="44">
      <c r="A44" s="9" t="inlineStr">
        <is>
          <t>E0043</t>
        </is>
      </c>
      <c r="B44" s="9" t="inlineStr">
        <is>
          <t>V002</t>
        </is>
      </c>
      <c r="C44" s="24" t="n">
        <v>46303</v>
      </c>
      <c r="D44" s="9" t="inlineStr">
        <is>
          <t>Supplies</t>
        </is>
      </c>
      <c r="E44" s="12" t="n">
        <v>295224</v>
      </c>
      <c r="F44" s="9" t="inlineStr">
        <is>
          <t>IDR</t>
        </is>
      </c>
      <c r="G44" s="9" t="inlineStr">
        <is>
          <t>paid</t>
        </is>
      </c>
    </row>
    <row r="45">
      <c r="A45" s="9" t="inlineStr">
        <is>
          <t>E0044</t>
        </is>
      </c>
      <c r="B45" s="9" t="inlineStr">
        <is>
          <t>V015</t>
        </is>
      </c>
      <c r="C45" s="24" t="n">
        <v>46288</v>
      </c>
      <c r="D45" s="9" t="inlineStr">
        <is>
          <t>Maintenance</t>
        </is>
      </c>
      <c r="E45" s="12" t="n">
        <v>364406</v>
      </c>
      <c r="F45" s="9" t="inlineStr">
        <is>
          <t>IDR</t>
        </is>
      </c>
      <c r="G45" s="9" t="inlineStr">
        <is>
          <t>paid</t>
        </is>
      </c>
    </row>
    <row r="46">
      <c r="A46" s="9" t="inlineStr">
        <is>
          <t>E0045</t>
        </is>
      </c>
      <c r="B46" s="9" t="inlineStr">
        <is>
          <t>V018</t>
        </is>
      </c>
      <c r="C46" s="24" t="n">
        <v>46322</v>
      </c>
      <c r="D46" s="9" t="inlineStr">
        <is>
          <t>Maintenance</t>
        </is>
      </c>
      <c r="E46" s="12" t="n">
        <v>914432</v>
      </c>
      <c r="F46" s="9" t="inlineStr">
        <is>
          <t>IDR</t>
        </is>
      </c>
      <c r="G46" s="9" t="inlineStr">
        <is>
          <t>paid</t>
        </is>
      </c>
    </row>
    <row r="47">
      <c r="A47" s="9" t="inlineStr">
        <is>
          <t>E0046</t>
        </is>
      </c>
      <c r="B47" s="9" t="inlineStr">
        <is>
          <t>V016</t>
        </is>
      </c>
      <c r="C47" s="24" t="n">
        <v>46320</v>
      </c>
      <c r="D47" s="9" t="inlineStr">
        <is>
          <t>Supplies</t>
        </is>
      </c>
      <c r="E47" s="12" t="n">
        <v>786454</v>
      </c>
      <c r="F47" s="9" t="inlineStr">
        <is>
          <t>IDR</t>
        </is>
      </c>
      <c r="G47" s="9" t="inlineStr">
        <is>
          <t>paid</t>
        </is>
      </c>
    </row>
    <row r="48">
      <c r="A48" s="9" t="inlineStr">
        <is>
          <t>E0047</t>
        </is>
      </c>
      <c r="B48" s="9" t="inlineStr">
        <is>
          <t>V013</t>
        </is>
      </c>
      <c r="C48" s="24" t="n">
        <v>46311</v>
      </c>
      <c r="D48" s="9" t="inlineStr">
        <is>
          <t>Maintenance</t>
        </is>
      </c>
      <c r="E48" s="12" t="n">
        <v>518259</v>
      </c>
      <c r="F48" s="9" t="inlineStr">
        <is>
          <t>IDR</t>
        </is>
      </c>
      <c r="G48" s="9" t="inlineStr">
        <is>
          <t>paid</t>
        </is>
      </c>
    </row>
    <row r="49">
      <c r="A49" s="9" t="inlineStr">
        <is>
          <t>E0048</t>
        </is>
      </c>
      <c r="B49" s="9" t="inlineStr">
        <is>
          <t>V003</t>
        </is>
      </c>
      <c r="C49" s="24" t="n">
        <v>46285</v>
      </c>
      <c r="D49" s="9" t="inlineStr">
        <is>
          <t>Supplies</t>
        </is>
      </c>
      <c r="E49" s="12" t="n">
        <v>359904</v>
      </c>
      <c r="F49" s="9" t="inlineStr">
        <is>
          <t>IDR</t>
        </is>
      </c>
      <c r="G49" s="9" t="inlineStr">
        <is>
          <t>pending</t>
        </is>
      </c>
    </row>
    <row r="50">
      <c r="A50" s="9" t="inlineStr">
        <is>
          <t>E0049</t>
        </is>
      </c>
      <c r="B50" s="9" t="inlineStr">
        <is>
          <t>V001</t>
        </is>
      </c>
      <c r="C50" s="24" t="n">
        <v>46280</v>
      </c>
      <c r="D50" s="9" t="inlineStr">
        <is>
          <t>Maintenance</t>
        </is>
      </c>
      <c r="E50" s="12" t="n">
        <v>528641</v>
      </c>
      <c r="F50" s="9" t="inlineStr">
        <is>
          <t>IDR</t>
        </is>
      </c>
      <c r="G50" s="9" t="inlineStr">
        <is>
          <t>paid</t>
        </is>
      </c>
    </row>
    <row r="51">
      <c r="A51" s="9" t="inlineStr">
        <is>
          <t>E0050</t>
        </is>
      </c>
      <c r="B51" s="9" t="inlineStr">
        <is>
          <t>V012</t>
        </is>
      </c>
      <c r="C51" s="24" t="n">
        <v>46290</v>
      </c>
      <c r="D51" s="9" t="inlineStr">
        <is>
          <t>Cleaning</t>
        </is>
      </c>
      <c r="E51" s="12" t="n">
        <v>608358</v>
      </c>
      <c r="F51" s="9" t="inlineStr">
        <is>
          <t>IDR</t>
        </is>
      </c>
      <c r="G51" s="9" t="inlineStr">
        <is>
          <t>paid</t>
        </is>
      </c>
    </row>
    <row r="52">
      <c r="A52" s="9" t="inlineStr">
        <is>
          <t>E0051</t>
        </is>
      </c>
      <c r="B52" s="9" t="inlineStr">
        <is>
          <t>V013</t>
        </is>
      </c>
      <c r="C52" s="24" t="n">
        <v>46280</v>
      </c>
      <c r="D52" s="9" t="inlineStr">
        <is>
          <t>Supplies</t>
        </is>
      </c>
      <c r="E52" s="12" t="n">
        <v>316509</v>
      </c>
      <c r="F52" s="9" t="inlineStr">
        <is>
          <t>IDR</t>
        </is>
      </c>
      <c r="G52" s="9" t="inlineStr">
        <is>
          <t>paid</t>
        </is>
      </c>
    </row>
    <row r="53">
      <c r="A53" s="9" t="inlineStr">
        <is>
          <t>E0052</t>
        </is>
      </c>
      <c r="B53" s="9" t="inlineStr">
        <is>
          <t>V019</t>
        </is>
      </c>
      <c r="C53" s="24" t="n">
        <v>46321</v>
      </c>
      <c r="D53" s="9" t="inlineStr">
        <is>
          <t>Cleaning</t>
        </is>
      </c>
      <c r="E53" s="12" t="n">
        <v>473327</v>
      </c>
      <c r="F53" s="9" t="inlineStr">
        <is>
          <t>IDR</t>
        </is>
      </c>
      <c r="G53" s="9" t="inlineStr">
        <is>
          <t>paid</t>
        </is>
      </c>
    </row>
    <row r="54">
      <c r="A54" s="9" t="inlineStr">
        <is>
          <t>E0053</t>
        </is>
      </c>
      <c r="B54" s="9" t="inlineStr">
        <is>
          <t>V015</t>
        </is>
      </c>
      <c r="C54" s="24" t="n">
        <v>46326</v>
      </c>
      <c r="D54" s="9" t="inlineStr">
        <is>
          <t>Electricity</t>
        </is>
      </c>
      <c r="E54" s="12" t="n">
        <v>156509</v>
      </c>
      <c r="F54" s="9" t="inlineStr">
        <is>
          <t>IDR</t>
        </is>
      </c>
      <c r="G54" s="9" t="inlineStr">
        <is>
          <t>paid</t>
        </is>
      </c>
    </row>
    <row r="55">
      <c r="A55" s="9" t="inlineStr">
        <is>
          <t>E0054</t>
        </is>
      </c>
      <c r="B55" s="9" t="inlineStr">
        <is>
          <t>V005</t>
        </is>
      </c>
      <c r="C55" s="24" t="n">
        <v>46320</v>
      </c>
      <c r="D55" s="9" t="inlineStr">
        <is>
          <t>Maintenance</t>
        </is>
      </c>
      <c r="E55" s="12" t="n">
        <v>710144</v>
      </c>
      <c r="F55" s="9" t="inlineStr">
        <is>
          <t>IDR</t>
        </is>
      </c>
      <c r="G55" s="9" t="inlineStr">
        <is>
          <t>pending</t>
        </is>
      </c>
    </row>
    <row r="56">
      <c r="A56" s="9" t="inlineStr">
        <is>
          <t>E0055</t>
        </is>
      </c>
      <c r="B56" s="9" t="inlineStr">
        <is>
          <t>V019</t>
        </is>
      </c>
      <c r="C56" s="24" t="n">
        <v>46317</v>
      </c>
      <c r="D56" s="9" t="inlineStr">
        <is>
          <t>Maintenance</t>
        </is>
      </c>
      <c r="E56" s="12" t="n">
        <v>855120</v>
      </c>
      <c r="F56" s="9" t="inlineStr">
        <is>
          <t>IDR</t>
        </is>
      </c>
      <c r="G56" s="9" t="inlineStr">
        <is>
          <t>paid</t>
        </is>
      </c>
    </row>
    <row r="57">
      <c r="A57" s="9" t="inlineStr">
        <is>
          <t>E0056</t>
        </is>
      </c>
      <c r="B57" s="9" t="inlineStr">
        <is>
          <t>V003</t>
        </is>
      </c>
      <c r="C57" s="24" t="n">
        <v>46310</v>
      </c>
      <c r="D57" s="9" t="inlineStr">
        <is>
          <t>Maintenance</t>
        </is>
      </c>
      <c r="E57" s="12" t="n">
        <v>416840</v>
      </c>
      <c r="F57" s="9" t="inlineStr">
        <is>
          <t>IDR</t>
        </is>
      </c>
      <c r="G57" s="9" t="inlineStr">
        <is>
          <t>paid</t>
        </is>
      </c>
    </row>
    <row r="58">
      <c r="A58" s="9" t="inlineStr">
        <is>
          <t>E0057</t>
        </is>
      </c>
      <c r="B58" s="9" t="inlineStr">
        <is>
          <t>V011</t>
        </is>
      </c>
      <c r="C58" s="24" t="n">
        <v>46294</v>
      </c>
      <c r="D58" s="9" t="inlineStr">
        <is>
          <t>Supplies</t>
        </is>
      </c>
      <c r="E58" s="12" t="n">
        <v>325200</v>
      </c>
      <c r="F58" s="9" t="inlineStr">
        <is>
          <t>IDR</t>
        </is>
      </c>
      <c r="G58" s="9" t="inlineStr">
        <is>
          <t>paid</t>
        </is>
      </c>
    </row>
    <row r="59">
      <c r="A59" s="9" t="inlineStr">
        <is>
          <t>E0058</t>
        </is>
      </c>
      <c r="B59" s="9" t="inlineStr">
        <is>
          <t>V012</t>
        </is>
      </c>
      <c r="C59" s="24" t="n">
        <v>46276</v>
      </c>
      <c r="D59" s="9" t="inlineStr">
        <is>
          <t>Maintenance</t>
        </is>
      </c>
      <c r="E59" s="12" t="n">
        <v>549211</v>
      </c>
      <c r="F59" s="9" t="inlineStr">
        <is>
          <t>IDR</t>
        </is>
      </c>
      <c r="G59" s="9" t="inlineStr">
        <is>
          <t>paid</t>
        </is>
      </c>
    </row>
    <row r="60">
      <c r="A60" s="9" t="inlineStr">
        <is>
          <t>E0059</t>
        </is>
      </c>
      <c r="B60" s="9" t="inlineStr">
        <is>
          <t>V001</t>
        </is>
      </c>
      <c r="C60" s="24" t="n">
        <v>46292</v>
      </c>
      <c r="D60" s="9" t="inlineStr">
        <is>
          <t>Electricity</t>
        </is>
      </c>
      <c r="E60" s="12" t="n">
        <v>301833</v>
      </c>
      <c r="F60" s="9" t="inlineStr">
        <is>
          <t>IDR</t>
        </is>
      </c>
      <c r="G60" s="9" t="inlineStr">
        <is>
          <t>paid</t>
        </is>
      </c>
    </row>
    <row r="61">
      <c r="A61" s="9" t="inlineStr">
        <is>
          <t>E0060</t>
        </is>
      </c>
      <c r="B61" s="9" t="inlineStr">
        <is>
          <t>V010</t>
        </is>
      </c>
      <c r="C61" s="24" t="n">
        <v>46290</v>
      </c>
      <c r="D61" s="9" t="inlineStr">
        <is>
          <t>Cleaning</t>
        </is>
      </c>
      <c r="E61" s="12" t="n">
        <v>818748</v>
      </c>
      <c r="F61" s="9" t="inlineStr">
        <is>
          <t>IDR</t>
        </is>
      </c>
      <c r="G61" s="9" t="inlineStr">
        <is>
          <t>pending</t>
        </is>
      </c>
    </row>
    <row r="62">
      <c r="A62" s="9" t="inlineStr">
        <is>
          <t>E0061</t>
        </is>
      </c>
      <c r="B62" s="9" t="inlineStr">
        <is>
          <t>V010</t>
        </is>
      </c>
      <c r="C62" s="24" t="n">
        <v>46316</v>
      </c>
      <c r="D62" s="9" t="inlineStr">
        <is>
          <t>Supplies</t>
        </is>
      </c>
      <c r="E62" s="12" t="n">
        <v>319792</v>
      </c>
      <c r="F62" s="9" t="inlineStr">
        <is>
          <t>IDR</t>
        </is>
      </c>
      <c r="G62" s="9" t="inlineStr">
        <is>
          <t>paid</t>
        </is>
      </c>
    </row>
    <row r="63">
      <c r="A63" s="9" t="inlineStr">
        <is>
          <t>E0062</t>
        </is>
      </c>
      <c r="B63" s="9" t="inlineStr">
        <is>
          <t>V014</t>
        </is>
      </c>
      <c r="C63" s="24" t="n">
        <v>46292</v>
      </c>
      <c r="D63" s="9" t="inlineStr">
        <is>
          <t>Electricity</t>
        </is>
      </c>
      <c r="E63" s="12" t="n">
        <v>776865</v>
      </c>
      <c r="F63" s="9" t="inlineStr">
        <is>
          <t>IDR</t>
        </is>
      </c>
      <c r="G63" s="9" t="inlineStr">
        <is>
          <t>paid</t>
        </is>
      </c>
    </row>
    <row r="64">
      <c r="A64" s="9" t="inlineStr">
        <is>
          <t>E0063</t>
        </is>
      </c>
      <c r="B64" s="9" t="inlineStr">
        <is>
          <t>V001</t>
        </is>
      </c>
      <c r="C64" s="24" t="n">
        <v>46312</v>
      </c>
      <c r="D64" s="9" t="inlineStr">
        <is>
          <t>Maintenance</t>
        </is>
      </c>
      <c r="E64" s="12" t="n">
        <v>157697</v>
      </c>
      <c r="F64" s="9" t="inlineStr">
        <is>
          <t>IDR</t>
        </is>
      </c>
      <c r="G64" s="9" t="inlineStr">
        <is>
          <t>paid</t>
        </is>
      </c>
    </row>
    <row r="65">
      <c r="A65" s="9" t="inlineStr">
        <is>
          <t>E0064</t>
        </is>
      </c>
      <c r="B65" s="9" t="inlineStr">
        <is>
          <t>V007</t>
        </is>
      </c>
      <c r="C65" s="24" t="n">
        <v>46274</v>
      </c>
      <c r="D65" s="9" t="inlineStr">
        <is>
          <t>Maintenance</t>
        </is>
      </c>
      <c r="E65" s="12" t="n">
        <v>904238</v>
      </c>
      <c r="F65" s="9" t="inlineStr">
        <is>
          <t>IDR</t>
        </is>
      </c>
      <c r="G65" s="9" t="inlineStr">
        <is>
          <t>paid</t>
        </is>
      </c>
    </row>
    <row r="66">
      <c r="A66" s="9" t="inlineStr">
        <is>
          <t>E0065</t>
        </is>
      </c>
      <c r="B66" s="9" t="inlineStr">
        <is>
          <t>V013</t>
        </is>
      </c>
      <c r="C66" s="24" t="n">
        <v>46306</v>
      </c>
      <c r="D66" s="9" t="inlineStr">
        <is>
          <t>Supplies</t>
        </is>
      </c>
      <c r="E66" s="12" t="n">
        <v>260684</v>
      </c>
      <c r="F66" s="9" t="inlineStr">
        <is>
          <t>IDR</t>
        </is>
      </c>
      <c r="G66" s="9" t="inlineStr">
        <is>
          <t>paid</t>
        </is>
      </c>
    </row>
    <row r="67">
      <c r="A67" s="9" t="inlineStr">
        <is>
          <t>E0066</t>
        </is>
      </c>
      <c r="B67" s="9" t="inlineStr">
        <is>
          <t>V015</t>
        </is>
      </c>
      <c r="C67" s="24" t="n">
        <v>46277</v>
      </c>
      <c r="D67" s="9" t="inlineStr">
        <is>
          <t>Electricity</t>
        </is>
      </c>
      <c r="E67" s="12" t="n">
        <v>921354</v>
      </c>
      <c r="F67" s="9" t="inlineStr">
        <is>
          <t>IDR</t>
        </is>
      </c>
      <c r="G67" s="9" t="inlineStr">
        <is>
          <t>pending</t>
        </is>
      </c>
    </row>
    <row r="68">
      <c r="A68" s="9" t="inlineStr">
        <is>
          <t>E0067</t>
        </is>
      </c>
      <c r="B68" s="9" t="inlineStr">
        <is>
          <t>V006</t>
        </is>
      </c>
      <c r="C68" s="24" t="n">
        <v>46273</v>
      </c>
      <c r="D68" s="9" t="inlineStr">
        <is>
          <t>Electricity</t>
        </is>
      </c>
      <c r="E68" s="12" t="n">
        <v>471944</v>
      </c>
      <c r="F68" s="9" t="inlineStr">
        <is>
          <t>IDR</t>
        </is>
      </c>
      <c r="G68" s="9" t="inlineStr">
        <is>
          <t>paid</t>
        </is>
      </c>
    </row>
    <row r="69">
      <c r="A69" s="9" t="inlineStr">
        <is>
          <t>E0068</t>
        </is>
      </c>
      <c r="B69" s="9" t="inlineStr">
        <is>
          <t>V017</t>
        </is>
      </c>
      <c r="C69" s="24" t="n">
        <v>46279</v>
      </c>
      <c r="D69" s="9" t="inlineStr">
        <is>
          <t>Supplies</t>
        </is>
      </c>
      <c r="E69" s="12" t="n">
        <v>558231</v>
      </c>
      <c r="F69" s="9" t="inlineStr">
        <is>
          <t>IDR</t>
        </is>
      </c>
      <c r="G69" s="9" t="inlineStr">
        <is>
          <t>paid</t>
        </is>
      </c>
    </row>
    <row r="70">
      <c r="A70" s="9" t="inlineStr">
        <is>
          <t>E0069</t>
        </is>
      </c>
      <c r="B70" s="9" t="inlineStr">
        <is>
          <t>V020</t>
        </is>
      </c>
      <c r="C70" s="24" t="n">
        <v>46316</v>
      </c>
      <c r="D70" s="9" t="inlineStr">
        <is>
          <t>Maintenance</t>
        </is>
      </c>
      <c r="E70" s="12" t="n">
        <v>916855</v>
      </c>
      <c r="F70" s="9" t="inlineStr">
        <is>
          <t>IDR</t>
        </is>
      </c>
      <c r="G70" s="9" t="inlineStr">
        <is>
          <t>paid</t>
        </is>
      </c>
    </row>
    <row r="71">
      <c r="A71" s="9" t="inlineStr">
        <is>
          <t>E0070</t>
        </is>
      </c>
      <c r="B71" s="9" t="inlineStr">
        <is>
          <t>V019</t>
        </is>
      </c>
      <c r="C71" s="24" t="n">
        <v>46314</v>
      </c>
      <c r="D71" s="9" t="inlineStr">
        <is>
          <t>Cleaning</t>
        </is>
      </c>
      <c r="E71" s="12" t="n">
        <v>106300</v>
      </c>
      <c r="F71" s="9" t="inlineStr">
        <is>
          <t>IDR</t>
        </is>
      </c>
      <c r="G71" s="9" t="inlineStr">
        <is>
          <t>paid</t>
        </is>
      </c>
    </row>
    <row r="72">
      <c r="A72" s="9" t="inlineStr">
        <is>
          <t>E0071</t>
        </is>
      </c>
      <c r="B72" s="9" t="inlineStr">
        <is>
          <t>V004</t>
        </is>
      </c>
      <c r="C72" s="24" t="n">
        <v>46284</v>
      </c>
      <c r="D72" s="9" t="inlineStr">
        <is>
          <t>Electricity</t>
        </is>
      </c>
      <c r="E72" s="12" t="n">
        <v>848171</v>
      </c>
      <c r="F72" s="9" t="inlineStr">
        <is>
          <t>IDR</t>
        </is>
      </c>
      <c r="G72" s="9" t="inlineStr">
        <is>
          <t>paid</t>
        </is>
      </c>
    </row>
    <row r="73">
      <c r="A73" s="9" t="inlineStr">
        <is>
          <t>E0072</t>
        </is>
      </c>
      <c r="B73" s="9" t="inlineStr">
        <is>
          <t>V011</t>
        </is>
      </c>
      <c r="C73" s="24" t="n">
        <v>46314</v>
      </c>
      <c r="D73" s="9" t="inlineStr">
        <is>
          <t>Maintenance</t>
        </is>
      </c>
      <c r="E73" s="12" t="n">
        <v>238459</v>
      </c>
      <c r="F73" s="9" t="inlineStr">
        <is>
          <t>IDR</t>
        </is>
      </c>
      <c r="G73" s="9" t="inlineStr">
        <is>
          <t>pending</t>
        </is>
      </c>
    </row>
    <row r="74">
      <c r="A74" s="9" t="inlineStr">
        <is>
          <t>E0073</t>
        </is>
      </c>
      <c r="B74" s="9" t="inlineStr">
        <is>
          <t>V020</t>
        </is>
      </c>
      <c r="C74" s="24" t="n">
        <v>46297</v>
      </c>
      <c r="D74" s="9" t="inlineStr">
        <is>
          <t>Supplies</t>
        </is>
      </c>
      <c r="E74" s="12" t="n">
        <v>714424</v>
      </c>
      <c r="F74" s="9" t="inlineStr">
        <is>
          <t>IDR</t>
        </is>
      </c>
      <c r="G74" s="9" t="inlineStr">
        <is>
          <t>paid</t>
        </is>
      </c>
    </row>
    <row r="75">
      <c r="A75" s="9" t="inlineStr">
        <is>
          <t>E0074</t>
        </is>
      </c>
      <c r="B75" s="9" t="inlineStr">
        <is>
          <t>V004</t>
        </is>
      </c>
      <c r="C75" s="24" t="n">
        <v>46280</v>
      </c>
      <c r="D75" s="9" t="inlineStr">
        <is>
          <t>Supplies</t>
        </is>
      </c>
      <c r="E75" s="12" t="n">
        <v>675551</v>
      </c>
      <c r="F75" s="9" t="inlineStr">
        <is>
          <t>IDR</t>
        </is>
      </c>
      <c r="G75" s="9" t="inlineStr">
        <is>
          <t>paid</t>
        </is>
      </c>
    </row>
    <row r="76">
      <c r="A76" s="9" t="inlineStr">
        <is>
          <t>E0075</t>
        </is>
      </c>
      <c r="B76" s="9" t="inlineStr">
        <is>
          <t>V013</t>
        </is>
      </c>
      <c r="C76" s="24" t="n">
        <v>46325</v>
      </c>
      <c r="D76" s="9" t="inlineStr">
        <is>
          <t>Supplies</t>
        </is>
      </c>
      <c r="E76" s="12" t="n">
        <v>494284</v>
      </c>
      <c r="F76" s="9" t="inlineStr">
        <is>
          <t>IDR</t>
        </is>
      </c>
      <c r="G76" s="9" t="inlineStr">
        <is>
          <t>paid</t>
        </is>
      </c>
    </row>
    <row r="77">
      <c r="A77" s="9" t="inlineStr">
        <is>
          <t>E0076</t>
        </is>
      </c>
      <c r="B77" s="9" t="inlineStr">
        <is>
          <t>V002</t>
        </is>
      </c>
      <c r="C77" s="24" t="n">
        <v>46283</v>
      </c>
      <c r="D77" s="9" t="inlineStr">
        <is>
          <t>Supplies</t>
        </is>
      </c>
      <c r="E77" s="12" t="n">
        <v>419338</v>
      </c>
      <c r="F77" s="9" t="inlineStr">
        <is>
          <t>IDR</t>
        </is>
      </c>
      <c r="G77" s="9" t="inlineStr">
        <is>
          <t>paid</t>
        </is>
      </c>
    </row>
    <row r="78">
      <c r="A78" s="9" t="inlineStr">
        <is>
          <t>E0077</t>
        </is>
      </c>
      <c r="B78" s="9" t="inlineStr">
        <is>
          <t>V020</t>
        </is>
      </c>
      <c r="C78" s="24" t="n">
        <v>46273</v>
      </c>
      <c r="D78" s="9" t="inlineStr">
        <is>
          <t>Maintenance</t>
        </is>
      </c>
      <c r="E78" s="12" t="n">
        <v>600870</v>
      </c>
      <c r="F78" s="9" t="inlineStr">
        <is>
          <t>IDR</t>
        </is>
      </c>
      <c r="G78" s="9" t="inlineStr">
        <is>
          <t>paid</t>
        </is>
      </c>
    </row>
    <row r="79">
      <c r="A79" s="9" t="inlineStr">
        <is>
          <t>E0078</t>
        </is>
      </c>
      <c r="B79" s="9" t="inlineStr">
        <is>
          <t>V017</t>
        </is>
      </c>
      <c r="C79" s="24" t="n">
        <v>46324</v>
      </c>
      <c r="D79" s="9" t="inlineStr">
        <is>
          <t>Supplies</t>
        </is>
      </c>
      <c r="E79" s="12" t="n">
        <v>548218</v>
      </c>
      <c r="F79" s="9" t="inlineStr">
        <is>
          <t>IDR</t>
        </is>
      </c>
      <c r="G79" s="9" t="inlineStr">
        <is>
          <t>pending</t>
        </is>
      </c>
    </row>
    <row r="80">
      <c r="A80" s="9" t="inlineStr">
        <is>
          <t>E0079</t>
        </is>
      </c>
      <c r="B80" s="9" t="inlineStr">
        <is>
          <t>V003</t>
        </is>
      </c>
      <c r="C80" s="24" t="n">
        <v>46270</v>
      </c>
      <c r="D80" s="9" t="inlineStr">
        <is>
          <t>Supplies</t>
        </is>
      </c>
      <c r="E80" s="12" t="n">
        <v>556831</v>
      </c>
      <c r="F80" s="9" t="inlineStr">
        <is>
          <t>IDR</t>
        </is>
      </c>
      <c r="G80" s="9" t="inlineStr">
        <is>
          <t>paid</t>
        </is>
      </c>
    </row>
    <row r="81">
      <c r="A81" s="9" t="inlineStr">
        <is>
          <t>E0080</t>
        </is>
      </c>
      <c r="B81" s="9" t="inlineStr">
        <is>
          <t>V008</t>
        </is>
      </c>
      <c r="C81" s="24" t="n">
        <v>46279</v>
      </c>
      <c r="D81" s="9" t="inlineStr">
        <is>
          <t>Cleaning</t>
        </is>
      </c>
      <c r="E81" s="12" t="n">
        <v>937198</v>
      </c>
      <c r="F81" s="9" t="inlineStr">
        <is>
          <t>IDR</t>
        </is>
      </c>
      <c r="G81" s="9" t="inlineStr">
        <is>
          <t>paid</t>
        </is>
      </c>
    </row>
    <row r="82">
      <c r="A82" s="9" t="inlineStr">
        <is>
          <t>E0081</t>
        </is>
      </c>
      <c r="B82" s="9" t="inlineStr">
        <is>
          <t>V014</t>
        </is>
      </c>
      <c r="C82" s="24" t="n">
        <v>46326</v>
      </c>
      <c r="D82" s="9" t="inlineStr">
        <is>
          <t>Maintenance</t>
        </is>
      </c>
      <c r="E82" s="12" t="n">
        <v>87787</v>
      </c>
      <c r="F82" s="9" t="inlineStr">
        <is>
          <t>IDR</t>
        </is>
      </c>
      <c r="G82" s="9" t="inlineStr">
        <is>
          <t>paid</t>
        </is>
      </c>
    </row>
    <row r="83">
      <c r="A83" s="9" t="inlineStr">
        <is>
          <t>E0082</t>
        </is>
      </c>
      <c r="B83" s="9" t="inlineStr">
        <is>
          <t>V004</t>
        </is>
      </c>
      <c r="C83" s="24" t="n">
        <v>46323</v>
      </c>
      <c r="D83" s="9" t="inlineStr">
        <is>
          <t>Cleaning</t>
        </is>
      </c>
      <c r="E83" s="12" t="n">
        <v>688866</v>
      </c>
      <c r="F83" s="9" t="inlineStr">
        <is>
          <t>IDR</t>
        </is>
      </c>
      <c r="G83" s="9" t="inlineStr">
        <is>
          <t>paid</t>
        </is>
      </c>
    </row>
    <row r="84">
      <c r="A84" s="9" t="inlineStr">
        <is>
          <t>E0083</t>
        </is>
      </c>
      <c r="B84" s="9" t="inlineStr">
        <is>
          <t>V014</t>
        </is>
      </c>
      <c r="C84" s="24" t="n">
        <v>46325</v>
      </c>
      <c r="D84" s="9" t="inlineStr">
        <is>
          <t>Supplies</t>
        </is>
      </c>
      <c r="E84" s="12" t="n">
        <v>356682</v>
      </c>
      <c r="F84" s="9" t="inlineStr">
        <is>
          <t>IDR</t>
        </is>
      </c>
      <c r="G84" s="9" t="inlineStr">
        <is>
          <t>paid</t>
        </is>
      </c>
    </row>
    <row r="85">
      <c r="A85" s="9" t="inlineStr">
        <is>
          <t>E0084</t>
        </is>
      </c>
      <c r="B85" s="9" t="inlineStr">
        <is>
          <t>V003</t>
        </is>
      </c>
      <c r="C85" s="24" t="n">
        <v>46284</v>
      </c>
      <c r="D85" s="9" t="inlineStr">
        <is>
          <t>Cleaning</t>
        </is>
      </c>
      <c r="E85" s="12" t="n">
        <v>263491</v>
      </c>
      <c r="F85" s="9" t="inlineStr">
        <is>
          <t>IDR</t>
        </is>
      </c>
      <c r="G85" s="9" t="inlineStr">
        <is>
          <t>pending</t>
        </is>
      </c>
    </row>
    <row r="86">
      <c r="A86" s="9" t="inlineStr">
        <is>
          <t>E0085</t>
        </is>
      </c>
      <c r="B86" s="9" t="inlineStr">
        <is>
          <t>V008</t>
        </is>
      </c>
      <c r="C86" s="24" t="n">
        <v>46306</v>
      </c>
      <c r="D86" s="9" t="inlineStr">
        <is>
          <t>Cleaning</t>
        </is>
      </c>
      <c r="E86" s="12" t="n">
        <v>692743</v>
      </c>
      <c r="F86" s="9" t="inlineStr">
        <is>
          <t>IDR</t>
        </is>
      </c>
      <c r="G86" s="9" t="inlineStr">
        <is>
          <t>paid</t>
        </is>
      </c>
    </row>
    <row r="87">
      <c r="A87" s="9" t="inlineStr">
        <is>
          <t>E0086</t>
        </is>
      </c>
      <c r="B87" s="9" t="inlineStr">
        <is>
          <t>V003</t>
        </is>
      </c>
      <c r="C87" s="24" t="n">
        <v>46287</v>
      </c>
      <c r="D87" s="9" t="inlineStr">
        <is>
          <t>Cleaning</t>
        </is>
      </c>
      <c r="E87" s="12" t="n">
        <v>247777</v>
      </c>
      <c r="F87" s="9" t="inlineStr">
        <is>
          <t>IDR</t>
        </is>
      </c>
      <c r="G87" s="9" t="inlineStr">
        <is>
          <t>paid</t>
        </is>
      </c>
    </row>
    <row r="88">
      <c r="A88" s="9" t="inlineStr">
        <is>
          <t>E0087</t>
        </is>
      </c>
      <c r="B88" s="9" t="inlineStr">
        <is>
          <t>V005</t>
        </is>
      </c>
      <c r="C88" s="24" t="n">
        <v>46286</v>
      </c>
      <c r="D88" s="9" t="inlineStr">
        <is>
          <t>Electricity</t>
        </is>
      </c>
      <c r="E88" s="12" t="n">
        <v>625961</v>
      </c>
      <c r="F88" s="9" t="inlineStr">
        <is>
          <t>IDR</t>
        </is>
      </c>
      <c r="G88" s="9" t="inlineStr">
        <is>
          <t>paid</t>
        </is>
      </c>
    </row>
    <row r="89">
      <c r="A89" s="9" t="inlineStr">
        <is>
          <t>E0088</t>
        </is>
      </c>
      <c r="B89" s="9" t="inlineStr">
        <is>
          <t>V006</t>
        </is>
      </c>
      <c r="C89" s="24" t="n">
        <v>46290</v>
      </c>
      <c r="D89" s="9" t="inlineStr">
        <is>
          <t>Maintenance</t>
        </is>
      </c>
      <c r="E89" s="12" t="n">
        <v>855734</v>
      </c>
      <c r="F89" s="9" t="inlineStr">
        <is>
          <t>IDR</t>
        </is>
      </c>
      <c r="G89" s="9" t="inlineStr">
        <is>
          <t>paid</t>
        </is>
      </c>
    </row>
    <row r="90">
      <c r="A90" s="9" t="inlineStr">
        <is>
          <t>E0089</t>
        </is>
      </c>
      <c r="B90" s="9" t="inlineStr">
        <is>
          <t>V010</t>
        </is>
      </c>
      <c r="C90" s="24" t="n">
        <v>46296</v>
      </c>
      <c r="D90" s="9" t="inlineStr">
        <is>
          <t>Supplies</t>
        </is>
      </c>
      <c r="E90" s="12" t="n">
        <v>371953</v>
      </c>
      <c r="F90" s="9" t="inlineStr">
        <is>
          <t>IDR</t>
        </is>
      </c>
      <c r="G90" s="9" t="inlineStr">
        <is>
          <t>paid</t>
        </is>
      </c>
    </row>
    <row r="91">
      <c r="A91" s="9" t="inlineStr">
        <is>
          <t>E0090</t>
        </is>
      </c>
      <c r="B91" s="9" t="inlineStr">
        <is>
          <t>V013</t>
        </is>
      </c>
      <c r="C91" s="24" t="n">
        <v>46289</v>
      </c>
      <c r="D91" s="9" t="inlineStr">
        <is>
          <t>Electricity</t>
        </is>
      </c>
      <c r="E91" s="12" t="n">
        <v>757492</v>
      </c>
      <c r="F91" s="9" t="inlineStr">
        <is>
          <t>IDR</t>
        </is>
      </c>
      <c r="G91" s="9" t="inlineStr">
        <is>
          <t>pending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9AA5B1"/>
    <outlinePr summaryBelow="1" summaryRight="1"/>
    <pageSetUpPr/>
  </sheetPr>
  <dimension ref="A1:E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30" customHeight="1">
      <c r="A1" s="13" t="inlineStr">
        <is>
          <t>property_id</t>
        </is>
      </c>
      <c r="B1" s="13" t="inlineStr">
        <is>
          <t>property_name</t>
        </is>
      </c>
      <c r="C1" s="13" t="inlineStr">
        <is>
          <t>cluster</t>
        </is>
      </c>
      <c r="D1" s="13" t="inlineStr">
        <is>
          <t>owner_id</t>
        </is>
      </c>
      <c r="E1" s="13" t="inlineStr">
        <is>
          <t>base_currency</t>
        </is>
      </c>
    </row>
    <row r="2">
      <c r="A2" s="9" t="inlineStr">
        <is>
          <t>V001</t>
        </is>
      </c>
      <c r="B2" s="9" t="inlineStr">
        <is>
          <t>Villa 01</t>
        </is>
      </c>
      <c r="C2" s="9" t="inlineStr">
        <is>
          <t>Ubud</t>
        </is>
      </c>
      <c r="D2" s="9" t="inlineStr">
        <is>
          <t>O001</t>
        </is>
      </c>
      <c r="E2" s="9" t="inlineStr">
        <is>
          <t>IDR</t>
        </is>
      </c>
    </row>
    <row r="3">
      <c r="A3" s="9" t="inlineStr">
        <is>
          <t>V002</t>
        </is>
      </c>
      <c r="B3" s="9" t="inlineStr">
        <is>
          <t>Villa 02</t>
        </is>
      </c>
      <c r="C3" s="9" t="inlineStr">
        <is>
          <t>Canggu</t>
        </is>
      </c>
      <c r="D3" s="9" t="inlineStr">
        <is>
          <t>O002</t>
        </is>
      </c>
      <c r="E3" s="9" t="inlineStr">
        <is>
          <t>IDR</t>
        </is>
      </c>
    </row>
    <row r="4">
      <c r="A4" s="9" t="inlineStr">
        <is>
          <t>V003</t>
        </is>
      </c>
      <c r="B4" s="9" t="inlineStr">
        <is>
          <t>Villa 03</t>
        </is>
      </c>
      <c r="C4" s="9" t="inlineStr">
        <is>
          <t>Sanur</t>
        </is>
      </c>
      <c r="D4" s="9" t="inlineStr">
        <is>
          <t>O003</t>
        </is>
      </c>
      <c r="E4" s="9" t="inlineStr">
        <is>
          <t>IDR</t>
        </is>
      </c>
    </row>
    <row r="5">
      <c r="A5" s="9" t="inlineStr">
        <is>
          <t>V004</t>
        </is>
      </c>
      <c r="B5" s="9" t="inlineStr">
        <is>
          <t>Villa 04</t>
        </is>
      </c>
      <c r="C5" s="9" t="inlineStr">
        <is>
          <t>Bukit</t>
        </is>
      </c>
      <c r="D5" s="9" t="inlineStr">
        <is>
          <t>O004</t>
        </is>
      </c>
      <c r="E5" s="9" t="inlineStr">
        <is>
          <t>IDR</t>
        </is>
      </c>
    </row>
    <row r="6">
      <c r="A6" s="9" t="inlineStr">
        <is>
          <t>V005</t>
        </is>
      </c>
      <c r="B6" s="9" t="inlineStr">
        <is>
          <t>Villa 05</t>
        </is>
      </c>
      <c r="C6" s="9" t="inlineStr">
        <is>
          <t>Ubud</t>
        </is>
      </c>
      <c r="D6" s="9" t="inlineStr">
        <is>
          <t>O005</t>
        </is>
      </c>
      <c r="E6" s="9" t="inlineStr">
        <is>
          <t>IDR</t>
        </is>
      </c>
    </row>
    <row r="7">
      <c r="A7" s="9" t="inlineStr">
        <is>
          <t>V006</t>
        </is>
      </c>
      <c r="B7" s="9" t="inlineStr">
        <is>
          <t>Villa 06</t>
        </is>
      </c>
      <c r="C7" s="9" t="inlineStr">
        <is>
          <t>Canggu</t>
        </is>
      </c>
      <c r="D7" s="9" t="inlineStr">
        <is>
          <t>O006</t>
        </is>
      </c>
      <c r="E7" s="9" t="inlineStr">
        <is>
          <t>IDR</t>
        </is>
      </c>
    </row>
    <row r="8">
      <c r="A8" s="9" t="inlineStr">
        <is>
          <t>V007</t>
        </is>
      </c>
      <c r="B8" s="9" t="inlineStr">
        <is>
          <t>Villa 07</t>
        </is>
      </c>
      <c r="C8" s="9" t="inlineStr">
        <is>
          <t>Sanur</t>
        </is>
      </c>
      <c r="D8" s="9" t="inlineStr">
        <is>
          <t>O007</t>
        </is>
      </c>
      <c r="E8" s="9" t="inlineStr">
        <is>
          <t>IDR</t>
        </is>
      </c>
    </row>
    <row r="9">
      <c r="A9" s="9" t="inlineStr">
        <is>
          <t>V008</t>
        </is>
      </c>
      <c r="B9" s="9" t="inlineStr">
        <is>
          <t>Villa 08</t>
        </is>
      </c>
      <c r="C9" s="9" t="inlineStr">
        <is>
          <t>Bukit</t>
        </is>
      </c>
      <c r="D9" s="9" t="inlineStr">
        <is>
          <t>O008</t>
        </is>
      </c>
      <c r="E9" s="9" t="inlineStr">
        <is>
          <t>IDR</t>
        </is>
      </c>
    </row>
    <row r="10">
      <c r="A10" s="9" t="inlineStr">
        <is>
          <t>V009</t>
        </is>
      </c>
      <c r="B10" s="9" t="inlineStr">
        <is>
          <t>Villa 09</t>
        </is>
      </c>
      <c r="C10" s="9" t="inlineStr">
        <is>
          <t>Ubud</t>
        </is>
      </c>
      <c r="D10" s="9" t="inlineStr">
        <is>
          <t>O009</t>
        </is>
      </c>
      <c r="E10" s="9" t="inlineStr">
        <is>
          <t>IDR</t>
        </is>
      </c>
    </row>
    <row r="11">
      <c r="A11" s="9" t="inlineStr">
        <is>
          <t>V010</t>
        </is>
      </c>
      <c r="B11" s="9" t="inlineStr">
        <is>
          <t>Villa 10</t>
        </is>
      </c>
      <c r="C11" s="9" t="inlineStr">
        <is>
          <t>Canggu</t>
        </is>
      </c>
      <c r="D11" s="9" t="inlineStr">
        <is>
          <t>O010</t>
        </is>
      </c>
      <c r="E11" s="9" t="inlineStr">
        <is>
          <t>IDR</t>
        </is>
      </c>
    </row>
    <row r="12">
      <c r="A12" s="9" t="inlineStr">
        <is>
          <t>V011</t>
        </is>
      </c>
      <c r="B12" s="9" t="inlineStr">
        <is>
          <t>Villa 11</t>
        </is>
      </c>
      <c r="C12" s="9" t="inlineStr">
        <is>
          <t>Sanur</t>
        </is>
      </c>
      <c r="D12" s="9" t="inlineStr">
        <is>
          <t>O011</t>
        </is>
      </c>
      <c r="E12" s="9" t="inlineStr">
        <is>
          <t>IDR</t>
        </is>
      </c>
    </row>
    <row r="13">
      <c r="A13" s="9" t="inlineStr">
        <is>
          <t>V012</t>
        </is>
      </c>
      <c r="B13" s="9" t="inlineStr">
        <is>
          <t>Villa 12</t>
        </is>
      </c>
      <c r="C13" s="9" t="inlineStr">
        <is>
          <t>Bukit</t>
        </is>
      </c>
      <c r="D13" s="9" t="inlineStr">
        <is>
          <t>O012</t>
        </is>
      </c>
      <c r="E13" s="9" t="inlineStr">
        <is>
          <t>IDR</t>
        </is>
      </c>
    </row>
    <row r="14">
      <c r="A14" s="9" t="inlineStr">
        <is>
          <t>V013</t>
        </is>
      </c>
      <c r="B14" s="9" t="inlineStr">
        <is>
          <t>Villa 13</t>
        </is>
      </c>
      <c r="C14" s="9" t="inlineStr">
        <is>
          <t>Ubud</t>
        </is>
      </c>
      <c r="D14" s="9" t="inlineStr">
        <is>
          <t>O013</t>
        </is>
      </c>
      <c r="E14" s="9" t="inlineStr">
        <is>
          <t>IDR</t>
        </is>
      </c>
    </row>
    <row r="15">
      <c r="A15" s="9" t="inlineStr">
        <is>
          <t>V014</t>
        </is>
      </c>
      <c r="B15" s="9" t="inlineStr">
        <is>
          <t>Villa 14</t>
        </is>
      </c>
      <c r="C15" s="9" t="inlineStr">
        <is>
          <t>Canggu</t>
        </is>
      </c>
      <c r="D15" s="9" t="inlineStr">
        <is>
          <t>O014</t>
        </is>
      </c>
      <c r="E15" s="9" t="inlineStr">
        <is>
          <t>IDR</t>
        </is>
      </c>
    </row>
    <row r="16">
      <c r="A16" s="9" t="inlineStr">
        <is>
          <t>V015</t>
        </is>
      </c>
      <c r="B16" s="9" t="inlineStr">
        <is>
          <t>Villa 15</t>
        </is>
      </c>
      <c r="C16" s="9" t="inlineStr">
        <is>
          <t>Sanur</t>
        </is>
      </c>
      <c r="D16" s="9" t="inlineStr">
        <is>
          <t>O015</t>
        </is>
      </c>
      <c r="E16" s="9" t="inlineStr">
        <is>
          <t>IDR</t>
        </is>
      </c>
    </row>
    <row r="17">
      <c r="A17" s="9" t="inlineStr">
        <is>
          <t>V016</t>
        </is>
      </c>
      <c r="B17" s="9" t="inlineStr">
        <is>
          <t>Villa 16</t>
        </is>
      </c>
      <c r="C17" s="9" t="inlineStr">
        <is>
          <t>Bukit</t>
        </is>
      </c>
      <c r="D17" s="9" t="inlineStr">
        <is>
          <t>O016</t>
        </is>
      </c>
      <c r="E17" s="9" t="inlineStr">
        <is>
          <t>IDR</t>
        </is>
      </c>
    </row>
    <row r="18">
      <c r="A18" s="9" t="inlineStr">
        <is>
          <t>V017</t>
        </is>
      </c>
      <c r="B18" s="9" t="inlineStr">
        <is>
          <t>Villa 17</t>
        </is>
      </c>
      <c r="C18" s="9" t="inlineStr">
        <is>
          <t>Ubud</t>
        </is>
      </c>
      <c r="D18" s="9" t="inlineStr">
        <is>
          <t>O017</t>
        </is>
      </c>
      <c r="E18" s="9" t="inlineStr">
        <is>
          <t>IDR</t>
        </is>
      </c>
    </row>
    <row r="19">
      <c r="A19" s="9" t="inlineStr">
        <is>
          <t>V018</t>
        </is>
      </c>
      <c r="B19" s="9" t="inlineStr">
        <is>
          <t>Villa 18</t>
        </is>
      </c>
      <c r="C19" s="9" t="inlineStr">
        <is>
          <t>Canggu</t>
        </is>
      </c>
      <c r="D19" s="9" t="inlineStr">
        <is>
          <t>O018</t>
        </is>
      </c>
      <c r="E19" s="9" t="inlineStr">
        <is>
          <t>IDR</t>
        </is>
      </c>
    </row>
    <row r="20">
      <c r="A20" s="9" t="inlineStr">
        <is>
          <t>V019</t>
        </is>
      </c>
      <c r="B20" s="9" t="inlineStr">
        <is>
          <t>Villa 19</t>
        </is>
      </c>
      <c r="C20" s="9" t="inlineStr">
        <is>
          <t>Sanur</t>
        </is>
      </c>
      <c r="D20" s="9" t="inlineStr">
        <is>
          <t>O019</t>
        </is>
      </c>
      <c r="E20" s="9" t="inlineStr">
        <is>
          <t>IDR</t>
        </is>
      </c>
    </row>
    <row r="21">
      <c r="A21" s="9" t="inlineStr">
        <is>
          <t>V020</t>
        </is>
      </c>
      <c r="B21" s="9" t="inlineStr">
        <is>
          <t>Villa 20</t>
        </is>
      </c>
      <c r="C21" s="9" t="inlineStr">
        <is>
          <t>Bukit</t>
        </is>
      </c>
      <c r="D21" s="9" t="inlineStr">
        <is>
          <t>O020</t>
        </is>
      </c>
      <c r="E21" s="9" t="inlineStr">
        <is>
          <t>IDR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9AA5B1"/>
    <outlinePr summaryBelow="1" summaryRight="1"/>
    <pageSetUpPr/>
  </sheetPr>
  <dimension ref="A1:F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3" t="inlineStr">
        <is>
          <t>property_id</t>
        </is>
      </c>
      <c r="B1" s="13" t="inlineStr">
        <is>
          <t>effective_from</t>
        </is>
      </c>
      <c r="C1" s="13" t="inlineStr">
        <is>
          <t>effective_to</t>
        </is>
      </c>
      <c r="D1" s="13" t="inlineStr">
        <is>
          <t>management_fee_rate</t>
        </is>
      </c>
      <c r="E1" s="13" t="inlineStr">
        <is>
          <t>fee_basis</t>
        </is>
      </c>
      <c r="F1" s="13" t="inlineStr">
        <is>
          <t>note</t>
        </is>
      </c>
    </row>
    <row r="2">
      <c r="A2" s="9" t="inlineStr">
        <is>
          <t>V001</t>
        </is>
      </c>
      <c r="B2" s="24" t="n">
        <v>46266</v>
      </c>
      <c r="C2" s="24" t="n">
        <v>46387</v>
      </c>
      <c r="D2" s="9" t="n">
        <v>0.17</v>
      </c>
      <c r="E2" s="9" t="inlineStr">
        <is>
          <t>gross_booking_value</t>
        </is>
      </c>
      <c r="F2" s="9" t="inlineStr">
        <is>
          <t>OTA fees are separate</t>
        </is>
      </c>
    </row>
    <row r="3">
      <c r="A3" s="9" t="inlineStr">
        <is>
          <t>V002</t>
        </is>
      </c>
      <c r="B3" s="24" t="n">
        <v>46266</v>
      </c>
      <c r="C3" s="24" t="n">
        <v>46387</v>
      </c>
      <c r="D3" s="9" t="n">
        <v>0.17</v>
      </c>
      <c r="E3" s="9" t="inlineStr">
        <is>
          <t>gross_booking_value</t>
        </is>
      </c>
      <c r="F3" s="9" t="inlineStr">
        <is>
          <t>OTA fees are separate</t>
        </is>
      </c>
    </row>
    <row r="4">
      <c r="A4" s="9" t="inlineStr">
        <is>
          <t>V003</t>
        </is>
      </c>
      <c r="B4" s="24" t="n">
        <v>46266</v>
      </c>
      <c r="C4" s="24" t="n">
        <v>46387</v>
      </c>
      <c r="D4" s="9" t="n">
        <v>0.17</v>
      </c>
      <c r="E4" s="9" t="inlineStr">
        <is>
          <t>gross_booking_value</t>
        </is>
      </c>
      <c r="F4" s="9" t="inlineStr">
        <is>
          <t>OTA fees are separate</t>
        </is>
      </c>
    </row>
    <row r="5">
      <c r="A5" s="9" t="inlineStr">
        <is>
          <t>V004</t>
        </is>
      </c>
      <c r="B5" s="24" t="n">
        <v>46266</v>
      </c>
      <c r="C5" s="24" t="n">
        <v>46387</v>
      </c>
      <c r="D5" s="9" t="n">
        <v>0.2</v>
      </c>
      <c r="E5" s="9" t="inlineStr">
        <is>
          <t>gross_booking_value</t>
        </is>
      </c>
      <c r="F5" s="9" t="inlineStr">
        <is>
          <t>OTA fees are separate</t>
        </is>
      </c>
    </row>
    <row r="6">
      <c r="A6" s="9" t="inlineStr">
        <is>
          <t>V005</t>
        </is>
      </c>
      <c r="B6" s="24" t="n">
        <v>46266</v>
      </c>
      <c r="C6" s="24" t="n">
        <v>46387</v>
      </c>
      <c r="D6" s="9" t="n">
        <v>0.17</v>
      </c>
      <c r="E6" s="9" t="inlineStr">
        <is>
          <t>gross_booking_value</t>
        </is>
      </c>
      <c r="F6" s="9" t="inlineStr">
        <is>
          <t>OTA fees are separate</t>
        </is>
      </c>
    </row>
    <row r="7">
      <c r="A7" s="9" t="inlineStr">
        <is>
          <t>V006</t>
        </is>
      </c>
      <c r="B7" s="24" t="n">
        <v>46266</v>
      </c>
      <c r="C7" s="24" t="n">
        <v>46387</v>
      </c>
      <c r="D7" s="9" t="n">
        <v>0.17</v>
      </c>
      <c r="E7" s="9" t="inlineStr">
        <is>
          <t>gross_booking_value</t>
        </is>
      </c>
      <c r="F7" s="9" t="inlineStr">
        <is>
          <t>OTA fees are separate</t>
        </is>
      </c>
    </row>
    <row r="8">
      <c r="A8" s="9" t="inlineStr">
        <is>
          <t>V007</t>
        </is>
      </c>
      <c r="B8" s="24" t="n">
        <v>46266</v>
      </c>
      <c r="C8" s="24" t="n">
        <v>46387</v>
      </c>
      <c r="D8" s="9" t="n">
        <v>0.17</v>
      </c>
      <c r="E8" s="9" t="inlineStr">
        <is>
          <t>gross_booking_value</t>
        </is>
      </c>
      <c r="F8" s="9" t="inlineStr">
        <is>
          <t>OTA fees are separate</t>
        </is>
      </c>
    </row>
    <row r="9">
      <c r="A9" s="9" t="inlineStr">
        <is>
          <t>V008</t>
        </is>
      </c>
      <c r="B9" s="24" t="n">
        <v>46266</v>
      </c>
      <c r="C9" s="24" t="n">
        <v>46387</v>
      </c>
      <c r="D9" s="9" t="n">
        <v>0.2</v>
      </c>
      <c r="E9" s="9" t="inlineStr">
        <is>
          <t>gross_booking_value</t>
        </is>
      </c>
      <c r="F9" s="9" t="inlineStr">
        <is>
          <t>OTA fees are separate</t>
        </is>
      </c>
    </row>
    <row r="10">
      <c r="A10" s="9" t="inlineStr">
        <is>
          <t>V009</t>
        </is>
      </c>
      <c r="B10" s="24" t="n">
        <v>46266</v>
      </c>
      <c r="C10" s="24" t="n">
        <v>46387</v>
      </c>
      <c r="D10" s="9" t="n">
        <v>0.17</v>
      </c>
      <c r="E10" s="9" t="inlineStr">
        <is>
          <t>gross_booking_value</t>
        </is>
      </c>
      <c r="F10" s="9" t="inlineStr">
        <is>
          <t>OTA fees are separate</t>
        </is>
      </c>
    </row>
    <row r="11">
      <c r="A11" s="9" t="inlineStr">
        <is>
          <t>V010</t>
        </is>
      </c>
      <c r="B11" s="24" t="n">
        <v>46266</v>
      </c>
      <c r="C11" s="24" t="n">
        <v>46387</v>
      </c>
      <c r="D11" s="9" t="n">
        <v>0.17</v>
      </c>
      <c r="E11" s="9" t="inlineStr">
        <is>
          <t>gross_booking_value</t>
        </is>
      </c>
      <c r="F11" s="9" t="inlineStr">
        <is>
          <t>OTA fees are separate</t>
        </is>
      </c>
    </row>
    <row r="12">
      <c r="A12" s="9" t="inlineStr">
        <is>
          <t>V011</t>
        </is>
      </c>
      <c r="B12" s="24" t="n">
        <v>46266</v>
      </c>
      <c r="C12" s="24" t="n">
        <v>46387</v>
      </c>
      <c r="D12" s="9" t="n">
        <v>0.17</v>
      </c>
      <c r="E12" s="9" t="inlineStr">
        <is>
          <t>gross_booking_value</t>
        </is>
      </c>
      <c r="F12" s="9" t="inlineStr">
        <is>
          <t>OTA fees are separate</t>
        </is>
      </c>
    </row>
    <row r="13">
      <c r="A13" s="9" t="inlineStr">
        <is>
          <t>V012</t>
        </is>
      </c>
      <c r="B13" s="24" t="n">
        <v>46266</v>
      </c>
      <c r="C13" s="24" t="n">
        <v>46387</v>
      </c>
      <c r="D13" s="9" t="n">
        <v>0.2</v>
      </c>
      <c r="E13" s="9" t="inlineStr">
        <is>
          <t>gross_booking_value</t>
        </is>
      </c>
      <c r="F13" s="9" t="inlineStr">
        <is>
          <t>OTA fees are separate</t>
        </is>
      </c>
    </row>
    <row r="14">
      <c r="A14" s="9" t="inlineStr">
        <is>
          <t>V013</t>
        </is>
      </c>
      <c r="B14" s="24" t="n">
        <v>46266</v>
      </c>
      <c r="C14" s="24" t="n">
        <v>46387</v>
      </c>
      <c r="D14" s="9" t="n">
        <v>0.17</v>
      </c>
      <c r="E14" s="9" t="inlineStr">
        <is>
          <t>gross_booking_value</t>
        </is>
      </c>
      <c r="F14" s="9" t="inlineStr">
        <is>
          <t>OTA fees are separate</t>
        </is>
      </c>
    </row>
    <row r="15">
      <c r="A15" s="9" t="inlineStr">
        <is>
          <t>V014</t>
        </is>
      </c>
      <c r="B15" s="24" t="n">
        <v>46266</v>
      </c>
      <c r="C15" s="24" t="n">
        <v>46387</v>
      </c>
      <c r="D15" s="9" t="n">
        <v>0.17</v>
      </c>
      <c r="E15" s="9" t="inlineStr">
        <is>
          <t>gross_booking_value</t>
        </is>
      </c>
      <c r="F15" s="9" t="inlineStr">
        <is>
          <t>OTA fees are separate</t>
        </is>
      </c>
    </row>
    <row r="16">
      <c r="A16" s="9" t="inlineStr">
        <is>
          <t>V015</t>
        </is>
      </c>
      <c r="B16" s="24" t="n">
        <v>46266</v>
      </c>
      <c r="C16" s="24" t="n">
        <v>46387</v>
      </c>
      <c r="D16" s="9" t="n">
        <v>0.17</v>
      </c>
      <c r="E16" s="9" t="inlineStr">
        <is>
          <t>gross_booking_value</t>
        </is>
      </c>
      <c r="F16" s="9" t="inlineStr">
        <is>
          <t>OTA fees are separate</t>
        </is>
      </c>
    </row>
    <row r="17">
      <c r="A17" s="9" t="inlineStr">
        <is>
          <t>V016</t>
        </is>
      </c>
      <c r="B17" s="24" t="n">
        <v>46266</v>
      </c>
      <c r="C17" s="24" t="n">
        <v>46387</v>
      </c>
      <c r="D17" s="9" t="n">
        <v>0.2</v>
      </c>
      <c r="E17" s="9" t="inlineStr">
        <is>
          <t>gross_booking_value</t>
        </is>
      </c>
      <c r="F17" s="9" t="inlineStr">
        <is>
          <t>OTA fees are separate</t>
        </is>
      </c>
    </row>
    <row r="18">
      <c r="A18" s="9" t="inlineStr">
        <is>
          <t>V017</t>
        </is>
      </c>
      <c r="B18" s="24" t="n">
        <v>46266</v>
      </c>
      <c r="C18" s="24" t="n">
        <v>46387</v>
      </c>
      <c r="D18" s="9" t="n">
        <v>0.17</v>
      </c>
      <c r="E18" s="9" t="inlineStr">
        <is>
          <t>gross_booking_value</t>
        </is>
      </c>
      <c r="F18" s="9" t="inlineStr">
        <is>
          <t>OTA fees are separate</t>
        </is>
      </c>
    </row>
    <row r="19">
      <c r="A19" s="9" t="inlineStr">
        <is>
          <t>V018</t>
        </is>
      </c>
      <c r="B19" s="24" t="n">
        <v>46266</v>
      </c>
      <c r="C19" s="24" t="n">
        <v>46387</v>
      </c>
      <c r="D19" s="9" t="n">
        <v>0.17</v>
      </c>
      <c r="E19" s="9" t="inlineStr">
        <is>
          <t>gross_booking_value</t>
        </is>
      </c>
      <c r="F19" s="9" t="inlineStr">
        <is>
          <t>OTA fees are separate</t>
        </is>
      </c>
    </row>
    <row r="20">
      <c r="A20" s="9" t="inlineStr">
        <is>
          <t>V019</t>
        </is>
      </c>
      <c r="B20" s="24" t="n">
        <v>46266</v>
      </c>
      <c r="C20" s="24" t="n">
        <v>46387</v>
      </c>
      <c r="D20" s="9" t="n">
        <v>0.17</v>
      </c>
      <c r="E20" s="9" t="inlineStr">
        <is>
          <t>gross_booking_value</t>
        </is>
      </c>
      <c r="F20" s="9" t="inlineStr">
        <is>
          <t>OTA fees are separate</t>
        </is>
      </c>
    </row>
    <row r="21">
      <c r="A21" s="9" t="inlineStr">
        <is>
          <t>V020</t>
        </is>
      </c>
      <c r="B21" s="24" t="n">
        <v>46266</v>
      </c>
      <c r="C21" s="24" t="n">
        <v>46387</v>
      </c>
      <c r="D21" s="9" t="n">
        <v>0.2</v>
      </c>
      <c r="E21" s="9" t="inlineStr">
        <is>
          <t>gross_booking_value</t>
        </is>
      </c>
      <c r="F21" s="9" t="inlineStr">
        <is>
          <t>OTA fees are separate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2026-10-19T06:15:33Z</dcterms:created>
  <dcterms:modified xsi:type="dcterms:W3CDTF">2026-10-19T06:15:33Z</dcterms:modified>
</cp:coreProperties>
</file>